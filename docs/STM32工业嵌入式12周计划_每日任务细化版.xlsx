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2"/>
  </bookViews>
  <sheets>
    <sheet name="使用说明" sheetId="1" r:id="rId1"/>
    <sheet name="Dashboard" sheetId="2" r:id="rId2"/>
    <sheet name="第1周_环境GitHub" sheetId="3" r:id="rId3"/>
    <sheet name="第2周_外设基础" sheetId="4" r:id="rId4"/>
    <sheet name="第3周_FreeRTOS" sheetId="5" r:id="rId5"/>
    <sheet name="第4周_CAN基础" sheetId="6" r:id="rId6"/>
    <sheet name="第5周_CAN协议" sheetId="7" r:id="rId7"/>
    <sheet name="第6周_Bootloader" sheetId="8" r:id="rId8"/>
    <sheet name="第7周_电机控制" sheetId="9" r:id="rId9"/>
    <sheet name="第8周_工业协议" sheetId="10" r:id="rId10"/>
    <sheet name="第9周_综合项目" sheetId="11" r:id="rId11"/>
    <sheet name="第10周_诊断可靠性" sheetId="12" r:id="rId12"/>
    <sheet name="第11周_架构优化" sheetId="13" r:id="rId13"/>
    <sheet name="第12周_求职面试" sheetId="14" r:id="rId14"/>
    <sheet name="每日总表" sheetId="15" r:id="rId15"/>
    <sheet name="CAN专项路线" sheetId="16" r:id="rId16"/>
    <sheet name="工业源码资源" sheetId="17" r:id="rId17"/>
    <sheet name="GitHub上传清单" sheetId="18" r:id="rId18"/>
    <sheet name="岗位雷达" sheetId="19" r:id="rId19"/>
    <sheet name="目标公司打探" sheetId="20" r:id="rId20"/>
    <sheet name="周复盘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<sst xmlns="http://schemas.openxmlformats.org/spreadsheetml/2006/main" count="7001" uniqueCount="1070">
  <si>
    <t>如何使用这个每日细化计划</t>
  </si>
  <si>
    <t>步骤</t>
  </si>
  <si>
    <t>你每天要做什么</t>
  </si>
  <si>
    <t>标准</t>
  </si>
  <si>
    <t>1 打开对应周Sheet</t>
  </si>
  <si>
    <t>例如第4周学CAN，就打开“第4周_CAN基础”。每一天有5个模块：早晨复盘、主学习、摸鱼自学1小时、代码实战、岗位雷达。</t>
  </si>
  <si>
    <t>不要只看总览；每日从对应周Sheet执行。</t>
  </si>
  <si>
    <t>2 修改G列状态</t>
  </si>
  <si>
    <t>每完成一个模块，把G列状态改为“已完成”；做了一半用“进行中”；卡住就选“卡住”并在J列写原因。</t>
  </si>
  <si>
    <t>Dashboard会按各周Sheet的G列统计完成率。</t>
  </si>
  <si>
    <t>3 每天保留摸鱼1小时</t>
  </si>
  <si>
    <t>这1小时不是乱刷：20分钟看源码/官方示例，20分钟看岗位JD，20分钟写笔记或README。</t>
  </si>
  <si>
    <t>每天至少产生1条笔记、1条岗位信息或1次源码阅读记录。</t>
  </si>
  <si>
    <t>4 证据化学习</t>
  </si>
  <si>
    <t>不要只写“学了CAN”。要留下证据：GitHub提交、串口日志、接线图、协议表、截图、README。</t>
  </si>
  <si>
    <t>I列填写证据链接、文件名或截图位置。</t>
  </si>
  <si>
    <t>5 每周日复盘</t>
  </si>
  <si>
    <t>看Dashboard完成率；补齐GitHub README；在“周复盘”写本周成果、卡点、下周调整。</t>
  </si>
  <si>
    <t>每周至少一个tag或阶段性commit。</t>
  </si>
  <si>
    <t>6 岗位雷达持续更新</t>
  </si>
  <si>
    <t>每天15分钟即可：新增1-3个岗位，提取技术词和差距，不要焦虑式刷招聘。</t>
  </si>
  <si>
    <t>岗位雷达累计越多，学习方向越不容易跑偏。</t>
  </si>
  <si>
    <t>STM32工业嵌入式12周计划 Dashboard</t>
  </si>
  <si>
    <t>指标</t>
  </si>
  <si>
    <t>数值</t>
  </si>
  <si>
    <r>
      <t>使用提醒：</t>
    </r>
    <r>
      <rPr>
        <b/>
        <sz val="11"/>
        <color rgb="FF1F4E78"/>
        <rFont val="Carlito"/>
        <charset val="134"/>
      </rPr>
      <t xml:space="preserve">
1</t>
    </r>
    <r>
      <rPr>
        <b/>
        <sz val="11"/>
        <color rgb="FF1F4E78"/>
        <rFont val="宋体"/>
        <charset val="134"/>
      </rPr>
      <t>）每天打开对应周</t>
    </r>
    <r>
      <rPr>
        <b/>
        <sz val="11"/>
        <color rgb="FF1F4E78"/>
        <rFont val="Carlito"/>
        <charset val="134"/>
      </rPr>
      <t>Sheet</t>
    </r>
    <r>
      <rPr>
        <b/>
        <sz val="11"/>
        <color rgb="FF1F4E78"/>
        <rFont val="宋体"/>
        <charset val="134"/>
      </rPr>
      <t>，</t>
    </r>
    <r>
      <rPr>
        <b/>
        <sz val="11"/>
        <color rgb="FF1F4E78"/>
        <rFont val="Carlito"/>
        <charset val="134"/>
      </rPr>
      <t>G</t>
    </r>
    <r>
      <rPr>
        <b/>
        <sz val="11"/>
        <color rgb="FF1F4E78"/>
        <rFont val="宋体"/>
        <charset val="134"/>
      </rPr>
      <t>列改成</t>
    </r>
    <r>
      <rPr>
        <b/>
        <sz val="11"/>
        <color rgb="FF1F4E78"/>
        <rFont val="Carlito"/>
        <charset val="134"/>
      </rPr>
      <t>“</t>
    </r>
    <r>
      <rPr>
        <b/>
        <sz val="11"/>
        <color rgb="FF1F4E78"/>
        <rFont val="宋体"/>
        <charset val="134"/>
      </rPr>
      <t>已完成</t>
    </r>
    <r>
      <rPr>
        <b/>
        <sz val="11"/>
        <color rgb="FF1F4E78"/>
        <rFont val="Carlito"/>
        <charset val="134"/>
      </rPr>
      <t>/</t>
    </r>
    <r>
      <rPr>
        <b/>
        <sz val="11"/>
        <color rgb="FF1F4E78"/>
        <rFont val="宋体"/>
        <charset val="134"/>
      </rPr>
      <t>进行中</t>
    </r>
    <r>
      <rPr>
        <b/>
        <sz val="11"/>
        <color rgb="FF1F4E78"/>
        <rFont val="Carlito"/>
        <charset val="134"/>
      </rPr>
      <t>/</t>
    </r>
    <r>
      <rPr>
        <b/>
        <sz val="11"/>
        <color rgb="FF1F4E78"/>
        <rFont val="宋体"/>
        <charset val="134"/>
      </rPr>
      <t>卡住</t>
    </r>
    <r>
      <rPr>
        <b/>
        <sz val="11"/>
        <color rgb="FF1F4E78"/>
        <rFont val="Carlito"/>
        <charset val="134"/>
      </rPr>
      <t>”</t>
    </r>
    <r>
      <rPr>
        <b/>
        <sz val="11"/>
        <color rgb="FF1F4E78"/>
        <rFont val="宋体"/>
        <charset val="134"/>
      </rPr>
      <t>。</t>
    </r>
    <r>
      <rPr>
        <b/>
        <sz val="11"/>
        <color rgb="FF1F4E78"/>
        <rFont val="Carlito"/>
        <charset val="134"/>
      </rPr>
      <t xml:space="preserve">
2</t>
    </r>
    <r>
      <rPr>
        <b/>
        <sz val="11"/>
        <color rgb="FF1F4E78"/>
        <rFont val="宋体"/>
        <charset val="134"/>
      </rPr>
      <t>）</t>
    </r>
    <r>
      <rPr>
        <b/>
        <sz val="11"/>
        <color rgb="FF1F4E78"/>
        <rFont val="Carlito"/>
        <charset val="134"/>
      </rPr>
      <t>I</t>
    </r>
    <r>
      <rPr>
        <b/>
        <sz val="11"/>
        <color rgb="FF1F4E78"/>
        <rFont val="宋体"/>
        <charset val="134"/>
      </rPr>
      <t>列填写证据链接、截图文件名或</t>
    </r>
    <r>
      <rPr>
        <b/>
        <sz val="11"/>
        <color rgb="FF1F4E78"/>
        <rFont val="Carlito"/>
        <charset val="134"/>
      </rPr>
      <t>GitHub commit</t>
    </r>
    <r>
      <rPr>
        <b/>
        <sz val="11"/>
        <color rgb="FF1F4E78"/>
        <rFont val="宋体"/>
        <charset val="134"/>
      </rPr>
      <t>。</t>
    </r>
    <r>
      <rPr>
        <b/>
        <sz val="11"/>
        <color rgb="FF1F4E78"/>
        <rFont val="Carlito"/>
        <charset val="134"/>
      </rPr>
      <t xml:space="preserve">
3</t>
    </r>
    <r>
      <rPr>
        <b/>
        <sz val="11"/>
        <color rgb="FF1F4E78"/>
        <rFont val="宋体"/>
        <charset val="134"/>
      </rPr>
      <t>）每周日回到</t>
    </r>
    <r>
      <rPr>
        <b/>
        <sz val="11"/>
        <color rgb="FF1F4E78"/>
        <rFont val="Carlito"/>
        <charset val="134"/>
      </rPr>
      <t>Dashboard</t>
    </r>
    <r>
      <rPr>
        <b/>
        <sz val="11"/>
        <color rgb="FF1F4E78"/>
        <rFont val="宋体"/>
        <charset val="134"/>
      </rPr>
      <t>看完成率，低于</t>
    </r>
    <r>
      <rPr>
        <b/>
        <sz val="11"/>
        <color rgb="FF1F4E78"/>
        <rFont val="Carlito"/>
        <charset val="134"/>
      </rPr>
      <t>80%</t>
    </r>
    <r>
      <rPr>
        <b/>
        <sz val="11"/>
        <color rgb="FF1F4E78"/>
        <rFont val="宋体"/>
        <charset val="134"/>
      </rPr>
      <t>就减量或补课。</t>
    </r>
  </si>
  <si>
    <t>总模块数</t>
  </si>
  <si>
    <t>已完成模块</t>
  </si>
  <si>
    <t>总完成率</t>
  </si>
  <si>
    <t>卡住任务数</t>
  </si>
  <si>
    <t>周次</t>
  </si>
  <si>
    <t>主题</t>
  </si>
  <si>
    <t>模块数</t>
  </si>
  <si>
    <t>已完成</t>
  </si>
  <si>
    <t>完成率</t>
  </si>
  <si>
    <t>卡住</t>
  </si>
  <si>
    <t>本周关键产出</t>
  </si>
  <si>
    <t>备注</t>
  </si>
  <si>
    <t>第1周</t>
  </si>
  <si>
    <t>STM32环境搭建 + GitHub + 学习闭环</t>
  </si>
  <si>
    <t>week01复盘文档 + GitHub tag/release</t>
  </si>
  <si>
    <t/>
  </si>
  <si>
    <t>第2周</t>
  </si>
  <si>
    <t>GPIO/UART/SPI/I2C/ADC/TIM外设基础</t>
  </si>
  <si>
    <t>week02外设综合Demo</t>
  </si>
  <si>
    <t>第3周</t>
  </si>
  <si>
    <t>FreeRTOS任务调度与模块协作</t>
  </si>
  <si>
    <t>week03复盘 + CAN预习笔记</t>
  </si>
  <si>
    <t>第4周</t>
  </si>
  <si>
    <t>CAN通信基础：帧、位时序、过滤器、收发</t>
  </si>
  <si>
    <t>week04 CAN基础成果包</t>
  </si>
  <si>
    <t>第5周</t>
  </si>
  <si>
    <t>CAN应用协议设计：心跳、故障、参数、节点</t>
  </si>
  <si>
    <t>CAN协议项目成果包</t>
  </si>
  <si>
    <t>第6周</t>
  </si>
  <si>
    <t>Bootloader/IAP/升级协议</t>
  </si>
  <si>
    <t>Bootloader/IAP成果包</t>
  </si>
  <si>
    <t>第7周</t>
  </si>
  <si>
    <t>PWM/编码器/PID/电机控制入门</t>
  </si>
  <si>
    <t>电机控制学习成果包</t>
  </si>
  <si>
    <t>第8周</t>
  </si>
  <si>
    <t>RS485/Modbus/lwIP/工业协议视野</t>
  </si>
  <si>
    <t>工业通信学习成果包</t>
  </si>
  <si>
    <t>第9周</t>
  </si>
  <si>
    <t>工业IO节点综合项目</t>
  </si>
  <si>
    <t>工业IO节点v0.1成果包</t>
  </si>
  <si>
    <t>第10周</t>
  </si>
  <si>
    <t>故障诊断、看门狗、通信鲁棒性</t>
  </si>
  <si>
    <t>可靠性版本成果包</t>
  </si>
  <si>
    <t>第11周</t>
  </si>
  <si>
    <t>代码架构、状态机、可维护性</t>
  </si>
  <si>
    <t>项目打磨版 + 目标公司清单</t>
  </si>
  <si>
    <t>第12周</t>
  </si>
  <si>
    <t>简历、项目包装、面试与投递</t>
  </si>
  <si>
    <t>12周总结 + 投递看板 + 项目v1.0</t>
  </si>
  <si>
    <t>第1周 - STM32环境搭建 + GitHub + 学习闭环</t>
  </si>
  <si>
    <t>Day</t>
  </si>
  <si>
    <t>今日目标</t>
  </si>
  <si>
    <t>模块</t>
  </si>
  <si>
    <t>具体动作</t>
  </si>
  <si>
    <t>建议耗时</t>
  </si>
  <si>
    <t>完成标准/验收方式</t>
  </si>
  <si>
    <t>状态</t>
  </si>
  <si>
    <t>实际耗时</t>
  </si>
  <si>
    <t>证据链接/文件</t>
  </si>
  <si>
    <t>复盘/问题</t>
  </si>
  <si>
    <t>Day 1</t>
  </si>
  <si>
    <t>搭好开发环境，跑通第一个F407工程</t>
  </si>
  <si>
    <t>早晨复盘</t>
  </si>
  <si>
    <t>确认电脑工具链清单：CubeMX/Keil或STM32CubeIDE/ST-Link驱动/串口工具/Git；建立学习文件夹。</t>
  </si>
  <si>
    <t>15分钟</t>
  </si>
  <si>
    <t>完成昨日复盘和今日启动，不超过15分钟。</t>
  </si>
  <si>
    <t>未开始</t>
  </si>
  <si>
    <t>主学习</t>
  </si>
  <si>
    <t>用CubeMX创建STM32F407最小工程：时钟、GPIO、LED；记录工程生成步骤。</t>
  </si>
  <si>
    <t>60-90分钟</t>
  </si>
  <si>
    <t>能用自己的话讲清今天概念，并写入笔记。</t>
  </si>
  <si>
    <t>摸鱼自学</t>
  </si>
  <si>
    <t>在GitHub搜索“STM32F4 HAL LED UART CAN”，收藏3个仓库；记录你看不懂的目录名。</t>
  </si>
  <si>
    <t>1小时</t>
  </si>
  <si>
    <t>留下源码阅读记录/链接/笔记；不是无目的刷视频。</t>
  </si>
  <si>
    <t>代码实战</t>
  </si>
  <si>
    <t>点亮LED并加一个串口printf启动日志；保存工程截图。</t>
  </si>
  <si>
    <t>60-120分钟</t>
  </si>
  <si>
    <t>工程能编译下载；上电LED闪烁；串口输出版本号；GitHub仓库已创建或本地git init。</t>
  </si>
  <si>
    <t>岗位雷达</t>
  </si>
  <si>
    <t>Boss/猎聘搜索“嵌入式 STM32 CAN FreeRTOS”，收藏5个岗位，只提取技术关键词。</t>
  </si>
  <si>
    <t>15-20分钟</t>
  </si>
  <si>
    <t>岗位雷达至少新增/更新1条；写清“岗位要求→我差距→下一步”。</t>
  </si>
  <si>
    <t>Day 2</t>
  </si>
  <si>
    <t>搞清楚启动流程和时钟树</t>
  </si>
  <si>
    <t>复盘昨天工程目录：Core、Drivers、startup、system_stm32f4xx.c分别是什么。</t>
  </si>
  <si>
    <t>学习启动流程：复位向量→startup.s→SystemInit→main；用CubeMX查看RCC/PLL/时钟树。</t>
  </si>
  <si>
    <t>打开STM32CubeF4仓库Projects目录，找到一个GPIO或UART示例，只看README和main.c。</t>
  </si>
  <si>
    <t>修改主频配置；串口打印SystemCoreClock；把步骤写进README。</t>
  </si>
  <si>
    <t>能口头说明main之前发生了什么；README有时钟配置和验证方法。</t>
  </si>
  <si>
    <t>挑2个岗位，把“必须/加分/熟悉”要求拆成三列，录入岗位雷达。</t>
  </si>
  <si>
    <t>Day 3</t>
  </si>
  <si>
    <t>掌握GPIO输入输出和外部中断</t>
  </si>
  <si>
    <t>画出LED、按键、GND/VCC连接方式；复习上拉/下拉。</t>
  </si>
  <si>
    <t>学习GPIO模式、EXTI外部中断、NVIC优先级、HAL_GPIO_EXTI_Callback调用链。</t>
  </si>
  <si>
    <t>阅读HAL_GPIO_EXTI_IRQHandler和HAL_GPIO_EXTI_Callback源码，标注函数调用顺序。</t>
  </si>
  <si>
    <t>实现按键中断切换LED；加入20ms软件防抖；串口打印按键次数。</t>
  </si>
  <si>
    <t>按键不误触发；能说明EXTI和NVIC关系；代码提交day03。</t>
  </si>
  <si>
    <t>看1家目标公司官网产品页，记录它做什么设备、用到哪些通信/控制场景。</t>
  </si>
  <si>
    <t>Day 4</t>
  </si>
  <si>
    <t>建立串口调试能力</t>
  </si>
  <si>
    <t>复盘阻塞/中断/DMA三个词的区别，写3句话。</t>
  </si>
  <si>
    <t>学习UART阻塞收发、printf重定向、简单日志等级LOG_INFO/LOG_ERR。</t>
  </si>
  <si>
    <t>阅读CubeF4 UART示例：HAL_UART_Transmit、Receive_IT、RxCpltCallback在哪里。</t>
  </si>
  <si>
    <t>实现串口菜单：输入help/status/led on/led off；输出系统状态。</t>
  </si>
  <si>
    <t>串口可控制LED；日志宏可复用；岗位雷达至少8条。</t>
  </si>
  <si>
    <t>把本周收藏岗位的技术词做一次统计：STM32、CAN、RTOS、Modbus出现几次。</t>
  </si>
  <si>
    <t>Day 5</t>
  </si>
  <si>
    <t>学会第一次上传GitHub</t>
  </si>
  <si>
    <t>整理工程文件，删除编译中间文件；准备.gitignore。</t>
  </si>
  <si>
    <t>学习git init/status/add/commit/remote/push；理解暂存区、提交、本地仓库、远程仓库。</t>
  </si>
  <si>
    <t>阅读GitHub官方“Adding a file to a repository”；照着命令做一次。</t>
  </si>
  <si>
    <t>把本周工程上传到GitHub；README写清硬件、功能、接线、运行效果。</t>
  </si>
  <si>
    <t>远程仓库能看到代码；README不是空的；至少有1次commit。</t>
  </si>
  <si>
    <t>观察今天新增岗位，不投递；只记录新增的行业方向和薪资范围。</t>
  </si>
  <si>
    <t>Day 6</t>
  </si>
  <si>
    <t>把代码从“能跑”改成“像工程”</t>
  </si>
  <si>
    <t>复盘bsp/app/driver三层概念，写出你自己的理解。</t>
  </si>
  <si>
    <t>学习模块化：bsp_led.c/h、bsp_key.c/h、bsp_uart.c/h；头文件保护和接口命名。</t>
  </si>
  <si>
    <t>看FreeRTOS Kernel或STM32CubeF4的目录组织，记录“为什么这样分目录”。</t>
  </si>
  <si>
    <t>重构前5天代码：LED/KEY/UART分别封装；main.c只保留初始化和主循环。</t>
  </si>
  <si>
    <t>main.c不再堆满业务代码；每个模块有.c/.h；GitHub提交day06_refactor。</t>
  </si>
  <si>
    <t>汇总本周岗位关键词Top10，标记自己已会/不会/需要项目证明。</t>
  </si>
  <si>
    <t>Day 7</t>
  </si>
  <si>
    <t>完成第1周复盘和可展示成果</t>
  </si>
  <si>
    <t>回看本周所有笔记，把卡点分成工具/代码/概念/求职4类。</t>
  </si>
  <si>
    <t>整理第1周知识地图：环境、启动、GPIO、UART、GitHub。</t>
  </si>
  <si>
    <t>写一篇GitHub学习日志：本周做了什么、遇到什么问题、下周怎么改。</t>
  </si>
  <si>
    <t>给仓库打tag或release：week01；补充运行截图/串口截图。</t>
  </si>
  <si>
    <t>Dashboard第1周完成率&gt;80%；GitHub有可打开的README和截图。</t>
  </si>
  <si>
    <t>判断岗位高频词里下周是否要提前加强CAN/RTOS；更新学习计划备注。</t>
  </si>
  <si>
    <t>第2周 - GPIO/UART/SPI/I2C/ADC/TIM外设基础</t>
  </si>
  <si>
    <t>把GPIO和定时器基础串起来</t>
  </si>
  <si>
    <t>复盘GPIO输入/输出/中断，列出常见Bug：没开时钟、引脚错、上拉错。</t>
  </si>
  <si>
    <t>学习TIM基本定时、中断周期、预分频PSC和ARR的含义。</t>
  </si>
  <si>
    <t>在STM32CubeF4里找TIM Base示例，阅读初始化函数和中断回调。</t>
  </si>
  <si>
    <t>用定时器中断实现1秒心跳LED，不再依赖HAL_Delay。</t>
  </si>
  <si>
    <t>能算出1ms/1s定时参数；LED周期稳定；代码提交。</t>
  </si>
  <si>
    <t>新增3条岗位，重点看是否要求“定时器/PWM/采集”。</t>
  </si>
  <si>
    <t>掌握UART中断/DMA接收思路</t>
  </si>
  <si>
    <t>复盘阻塞式串口的问题：卡CPU、丢数据、实时性差。</t>
  </si>
  <si>
    <t>学习UART Receive_IT和DMA循环接收；理解回调、缓冲区、半包/粘包。</t>
  </si>
  <si>
    <t>看HAL_UART_RxCpltCallback示例，记录重新开启接收的位置。</t>
  </si>
  <si>
    <t>实现串口接收一行命令，以
结尾解析help/status。</t>
  </si>
  <si>
    <t>连续输入10条命令不死机；错误命令有提示；README有命令列表。</t>
  </si>
  <si>
    <t>分析1个要求“串口协议/上位机通信”的岗位，记录它的应用场景。</t>
  </si>
  <si>
    <t>理解I2C设备通信流程</t>
  </si>
  <si>
    <t>画I2C连线：SCL/SDA/上拉；复习地址、ACK、读写方向。</t>
  </si>
  <si>
    <t>学习I2C读写寄存器流程；如果没有硬件，用伪代码写EEPROM/传感器读写流程。</t>
  </si>
  <si>
    <t>在开源项目里搜索HAL_I2C_Mem_Read，观察别人如何封装驱动。</t>
  </si>
  <si>
    <t>封装bsp_i2c_read_reg/write_reg接口；写一个模拟传感器读取函数。</t>
  </si>
  <si>
    <t>能说明I2C一次寄存器读取的步骤；接口参数清晰可复用。</t>
  </si>
  <si>
    <t>记录岗位里出现的“传感器/采集/ADC/I2C/SPI”关键词。</t>
  </si>
  <si>
    <t>理解SPI和片选时序</t>
  </si>
  <si>
    <t>对比I2C和SPI：线数、速度、寻址、片选。</t>
  </si>
  <si>
    <t>学习SPI模式CPOL/CPHA、CS片选、全双工；看W25Qxx/屏幕驱动常见结构。</t>
  </si>
  <si>
    <t>GitHub搜索“STM32F4 W25Qxx HAL SPI”，只看驱动文件命名和初始化。</t>
  </si>
  <si>
    <t>封装bsp_spi_transfer和chip_select接口；写伪Flash读ID流程。</t>
  </si>
  <si>
    <t>能解释CPOL/CPHA；能画出CS拉低-传输-拉高流程。</t>
  </si>
  <si>
    <t>更新岗位雷达：哪些岗位要求Flash/存储/屏幕/通信外设。</t>
  </si>
  <si>
    <t>完成ADC采样和滤波入门</t>
  </si>
  <si>
    <t>复盘采样、分辨率、参考电压、量化误差。</t>
  </si>
  <si>
    <t>学习ADC单通道/多通道、DMA采样、均值滤波/滑动滤波。</t>
  </si>
  <si>
    <t>阅读CubeF4 ADC DMA示例，记录DMA缓冲区如何被使用。</t>
  </si>
  <si>
    <t>实现adc_filter.c：输入数组→输出平均值/最大最小剔除平均。</t>
  </si>
  <si>
    <t>滤波函数可独立编译；能说明为什么不能只读一次ADC。</t>
  </si>
  <si>
    <t>找1个工业采集类岗位，记录它对采样精度/实时性的要求。</t>
  </si>
  <si>
    <t>掌握PWM和输入捕获基本概念</t>
  </si>
  <si>
    <t>写出PWM三个参数：频率、占空比、计数周期。</t>
  </si>
  <si>
    <t>学习TIM PWM输出、输入捕获测频、编码器模式概念。</t>
  </si>
  <si>
    <t>在STM32CubeF4找TIM PWM/IC示例，阅读HAL_TIM_PWM_Start位置。</t>
  </si>
  <si>
    <t>实现PWM呼吸灯；预留motor_pwm_set(percent)接口。</t>
  </si>
  <si>
    <t>能调占空比；接口不暴露HAL细节；代码提交。</t>
  </si>
  <si>
    <t>记录岗位里“PWM/电机/编码器/PID”出现次数。</t>
  </si>
  <si>
    <t>外设周小项目：采集终端雏形</t>
  </si>
  <si>
    <t>整理本周外设：TIM/UART/I2C/SPI/ADC/PWM各自用途。</t>
  </si>
  <si>
    <t>设计一个“采集终端”：定时采样→串口输出→命令修改采样周期。</t>
  </si>
  <si>
    <t>看一个开源项目README，学习它如何描述硬件和功能。</t>
  </si>
  <si>
    <t>把TIM+UART+ADC滤波组合起来，输出周期性数据。</t>
  </si>
  <si>
    <t>Demo能连续运行5分钟；README有模块结构和运行截图；tag week02。</t>
  </si>
  <si>
    <t>周汇总：岗位高频外设Top5 + 自己证据是否足够。</t>
  </si>
  <si>
    <t>第3周 - FreeRTOS任务调度与模块协作</t>
  </si>
  <si>
    <t>理解RTOS为什么存在</t>
  </si>
  <si>
    <t>列出裸机while循环的痛点：延时阻塞、任务耦合、响应慢。</t>
  </si>
  <si>
    <t>学习FreeRTOS任务、调度、优先级、tick；创建LED任务和日志任务。</t>
  </si>
  <si>
    <t>阅读FreeRTOS官方Kernel仓库README/目录，搞清tasks.c/queue.c/list.c。</t>
  </si>
  <si>
    <t>创建2个任务：LED心跳任务、串口打印任务；不同周期运行。</t>
  </si>
  <si>
    <t>两个任务互不阻塞；能解释vTaskDelay和HAL_Delay区别。</t>
  </si>
  <si>
    <t>收集3个要求FreeRTOS的岗位，记录它们还要求哪些通信协议。</t>
  </si>
  <si>
    <t>用队列解耦任务</t>
  </si>
  <si>
    <t>复盘任务间直接调用的问题：耦合、阻塞、难测试。</t>
  </si>
  <si>
    <t>学习Queue创建、发送、接收、超时；设计log_queue或cmd_queue。</t>
  </si>
  <si>
    <t>看FreeRTOS queue.c接口注释，记录xQueueSend/xQueueReceive参数。</t>
  </si>
  <si>
    <t>串口接收任务把命令放进队列，控制任务消费命令。</t>
  </si>
  <si>
    <t>串口任务不直接控制LED；命令经队列传递；错误命令不阻塞。</t>
  </si>
  <si>
    <t>记录岗位里“任务间通信/消息队列/多线程”相关描述。</t>
  </si>
  <si>
    <t>掌握信号量和互斥锁</t>
  </si>
  <si>
    <t>写出二值信号量、计数信号量、互斥锁区别。</t>
  </si>
  <si>
    <t>学习Semaphore/Mutex使用场景：中断通知任务、保护共享资源。</t>
  </si>
  <si>
    <t>在FreeRTOS示例/文档中搜索xSemaphoreGiveFromISR，理解ISR限制。</t>
  </si>
  <si>
    <t>按键中断释放信号量，任务收到后处理；串口打印加互斥保护。</t>
  </si>
  <si>
    <t>中断里不做耗时逻辑；任务被信号量唤醒；串口输出不乱序。</t>
  </si>
  <si>
    <t>分析1个岗位对“实时性/中断/RTOS”的要求，用自己的话翻译。</t>
  </si>
  <si>
    <t>学会软件定时器和周期任务</t>
  </si>
  <si>
    <t>复盘硬件定时器和RTOS软件定时器区别。</t>
  </si>
  <si>
    <t>学习Software Timer；设计周期心跳、超时检测、统计任务。</t>
  </si>
  <si>
    <t>看FreeRTOS timer相关API名，整理启动/停止/回调注意事项。</t>
  </si>
  <si>
    <t>用软件定时器每1s更新系统运行时间；每5s打印一次统计。</t>
  </si>
  <si>
    <t>定时器回调短小；统计数据准确；README记录周期配置。</t>
  </si>
  <si>
    <t>岗位雷达更新：把“实时系统/RTOS/任务调度”加入关键词列。</t>
  </si>
  <si>
    <t>会排查RTOS常见问题</t>
  </si>
  <si>
    <t>列出RTOS常见Bug：栈溢出、优先级反转、死锁、任务饿死。</t>
  </si>
  <si>
    <t>学习任务栈、高水位、优先级设计、看门狗喂狗位置。</t>
  </si>
  <si>
    <t>阅读FreeRTOSConfig.h常用配置项：堆大小、断言、钩子函数。</t>
  </si>
  <si>
    <t>加入任务运行状态打印：任务名、周期、错误计数。</t>
  </si>
  <si>
    <t>能定位“某任务不运行”的3种可能原因；代码有assert或错误返回处理。</t>
  </si>
  <si>
    <t>找1个中高级嵌入式岗位，看看RTOS要求和初级岗位差异。</t>
  </si>
  <si>
    <t>RTOS综合：串口命令中心</t>
  </si>
  <si>
    <t>复盘队列、信号量、定时器各自适合什么场景。</t>
  </si>
  <si>
    <t>设计任务划分：cmd_task、led_task、monitor_task、log_task。</t>
  </si>
  <si>
    <t>看一个成熟嵌入式项目的任务命名和模块组织。</t>
  </si>
  <si>
    <t>实现命令：status、led、period、help；任务间用队列通信。</t>
  </si>
  <si>
    <t>至少4条命令可用；任务职责清晰；GitHub提交week03_demo。</t>
  </si>
  <si>
    <t>周六汇总岗位：RTOS+CAN是否经常一起出现，决定下周CAN投入。</t>
  </si>
  <si>
    <t>第3周复盘，准备进入CAN</t>
  </si>
  <si>
    <t>整理RTOS知识地图：任务、队列、信号量、定时器、调试。</t>
  </si>
  <si>
    <t>把RTOS工程打tag week03；列出后续CAN任务如何接入RTOS。</t>
  </si>
  <si>
    <t>预习CAN：搜“CAN frame standard extended ID arbitration”，只看概念图。</t>
  </si>
  <si>
    <t>写一页“CAN接入RTOS的初步设计”：can_rx_task/can_tx_queue。</t>
  </si>
  <si>
    <t>能说清RTOS四大对象；Dashboard第3周完成率&gt;80%。</t>
  </si>
  <si>
    <t>更新岗位雷达Top10关键词；标记下周必须补的CAN项。</t>
  </si>
  <si>
    <t>第4周 - CAN通信基础：帧、位时序、过滤器、收发</t>
  </si>
  <si>
    <t>认识CAN物理层和实验条件</t>
  </si>
  <si>
    <t>列出你手头硬件：F407板数量、是否有SN65HVD230/TJA1050、USB-CAN、120欧终端电阻。</t>
  </si>
  <si>
    <t>学习CAN_H/CAN_L差分、终端电阻、收发器、节点、总线拓扑；没有硬件就先用Loopback。</t>
  </si>
  <si>
    <t>在GitHub搜索“STM32F4 CAN HAL LoopBack”，收藏2个可参考工程。</t>
  </si>
  <si>
    <t>画出CAN接线图：MCU CAN_TX/RX→收发器→CAN_H/L→终端电阻。</t>
  </si>
  <si>
    <t>能说明为什么MCU不能直接接CAN_H/L；知道没有硬件如何用Loopback先练。</t>
  </si>
  <si>
    <t>岗位雷达只筛选含CAN的岗位，记录行业：BMS/电机/工控/机器人/汽车电子。</t>
  </si>
  <si>
    <t>掌握CAN帧格式和ID设计</t>
  </si>
  <si>
    <t>复盘标准帧/扩展帧、数据帧/远程帧、DLC、仲裁。</t>
  </si>
  <si>
    <t>学习标准ID 11位、扩展ID 29位、优先级仲裁；设计项目ID分配表。</t>
  </si>
  <si>
    <t>阅读CANopenNode文档/README，只理解“对象字典、PDO、SDO、心跳”这些名词。</t>
  </si>
  <si>
    <t>设计你的CAN ID表：0x100心跳、0x200状态、0x300命令、0x400故障。</t>
  </si>
  <si>
    <t>每个ID有方向、周期、DLC、字段含义；能解释ID越小优先级越高。</t>
  </si>
  <si>
    <t>对比3个CAN岗位，看它们要求的是“会CAN收发”还是“会协议设计/诊断”。</t>
  </si>
  <si>
    <t>学会CAN位时序和波特率配置</t>
  </si>
  <si>
    <t>写出CAN位时间组成：Sync/BS1/BS2/SJW/Prescaler。</t>
  </si>
  <si>
    <t>学习500kbps/250kbps常见配置；在CubeMX里配置CAN1波特率和采样点。</t>
  </si>
  <si>
    <t>找一篇/一个示例的CAN bitrate配置，记录PCLK、Prescaler、BS1、BS2。</t>
  </si>
  <si>
    <t>在工程里生成CAN初始化代码；注释每个Timing参数的含义。</t>
  </si>
  <si>
    <t>能根据PCLK说明波特率怎么来；CubeMX配置截图已保存。</t>
  </si>
  <si>
    <t>岗位雷达新增“CANFD/UDS/J1939/CANopen”字段，看哪些词开始出现。</t>
  </si>
  <si>
    <t>跑通CAN Loopback收发</t>
  </si>
  <si>
    <t>复盘HAL_CAN_Init、HAL_CAN_Start、HAL_CAN_AddTxMessage、Rx回调。</t>
  </si>
  <si>
    <t>学习HAL CAN收发流程：Start→ActivateNotification→AddTxMessage→RxFifo回调。</t>
  </si>
  <si>
    <t>阅读STM32CubeF4 CAN示例main.c，找到发送、接收、过滤器配置位置。</t>
  </si>
  <si>
    <t>Loopback模式每1秒发送一帧0x123，收到后串口打印ID/DLC/Data。</t>
  </si>
  <si>
    <t>串口能看到自己发送并接收到的CAN帧；发送失败有错误打印。</t>
  </si>
  <si>
    <t>记录岗位中“CAN调试工具”要求：CANoe/CANalyzer/PCAN/周立功/USB-CAN。</t>
  </si>
  <si>
    <t>掌握CAN过滤器和中断接收</t>
  </si>
  <si>
    <t>复盘FIFO0/FIFO1、Mask模式/List模式区别。</t>
  </si>
  <si>
    <t>学习过滤器配置：只接收0x100-0x1FF或指定ID；理解掩码匹配。</t>
  </si>
  <si>
    <t>搜索“HAL_CAN_ConfigFilter MaskId High Low”，看3个示例并比较写法。</t>
  </si>
  <si>
    <t>配置过滤器：只接收0x123，发送0x123和0x456验证过滤效果。</t>
  </si>
  <si>
    <t>0x123能收到，0x456被过滤；能画出过滤器匹配逻辑。</t>
  </si>
  <si>
    <t>分析1个写“熟悉CAN协议栈”的岗位，拆成：驱动、协议、工具、诊断。</t>
  </si>
  <si>
    <t>从“收发帧”进入“调试帧”</t>
  </si>
  <si>
    <t>列出CAN调试必看字段：ID、方向、DLC、周期、数据解释、时间戳。</t>
  </si>
  <si>
    <t>学习如何记录CAN日志；设计can_log_print函数；了解USB-CAN/逻辑分析工具。</t>
  </si>
  <si>
    <t>查看GitHub上CAN调试工具或python-can示例，理解日志长什么样。</t>
  </si>
  <si>
    <t>实现can_send_test(id,data,len)和can_print_frame(frame)两个工具函数。</t>
  </si>
  <si>
    <t>串口打印格式统一；能快速看出一帧的ID、DLC和数据。</t>
  </si>
  <si>
    <t>把目标岗位里提到的CAN工具写到“待学习工具”列。</t>
  </si>
  <si>
    <t>第4周CAN基础复盘</t>
  </si>
  <si>
    <t>整理CAN基础错题：物理层、帧格式、位时序、过滤器、Loopback。</t>
  </si>
  <si>
    <t>画一张CAN收发流程图：初始化→过滤器→启动→发送→接收中断→解析。</t>
  </si>
  <si>
    <t>写一篇“我如何从零跑通CAN”的README小结。</t>
  </si>
  <si>
    <t>给CAN基础工程打tag week04_can_basic；补充接线图和日志截图。</t>
  </si>
  <si>
    <t>GitHub有CAN Loopback源码、README、日志截图；能回答CAN基础5问。</t>
  </si>
  <si>
    <t>本周CAN岗位总结：哪些要求你现在能证明，哪些还缺项目证据。</t>
  </si>
  <si>
    <t>第5周 - CAN应用协议设计：心跳、故障、参数、节点</t>
  </si>
  <si>
    <t>设计一个像样的CAN应用协议</t>
  </si>
  <si>
    <t>复盘CAN只是传输层，企业更看重你会不会设计“业务协议”。</t>
  </si>
  <si>
    <t>定义项目场景：主控+传感节点+执行节点；设计NodeID、消息类型、周期、超时。</t>
  </si>
  <si>
    <t>阅读CANopenNode概念：Node、Object Dictionary、PDO、SDO、Heartbeat，只做高层理解。</t>
  </si>
  <si>
    <t>写can_protocol.h：ID宏、数据结构、命令枚举、错误码枚举。</t>
  </si>
  <si>
    <t>协议文档包含ID表、字段表、周期、方向、超时策略。</t>
  </si>
  <si>
    <t>岗位雷达筛选“CANopen/UDS/J1939”，记录哪些行业用这些协议。</t>
  </si>
  <si>
    <t>实现心跳和在线检测</t>
  </si>
  <si>
    <t>写出心跳包字段：node_id、state、error_code、uptime。</t>
  </si>
  <si>
    <t>学习在线检测：周期发送、last_rx_tick、timeout、离线恢复。</t>
  </si>
  <si>
    <t>看CANopen heartbeat/Node guarding概念，理解它解决什么问题。</t>
  </si>
  <si>
    <t>实现can_heartbeat_send和can_node_monitor_update；超时打印节点离线。</t>
  </si>
  <si>
    <t>模拟停止心跳后能判定离线；恢复发送后能判定上线。</t>
  </si>
  <si>
    <t>分析岗位里“设备状态监控/故障诊断”的真实含义。</t>
  </si>
  <si>
    <t>实现参数读写协议</t>
  </si>
  <si>
    <t>复盘命令-响应模型：请求ID、响应ID、序号、状态码。</t>
  </si>
  <si>
    <t>设计参数读写：read_param/write_param，参数ID，长度，返回码。</t>
  </si>
  <si>
    <t>对比CANopen SDO思路：通过索引读写对象，不必深入实现。</t>
  </si>
  <si>
    <t>实现命令：读取设备版本、设置LED闪烁周期、读取采样值。</t>
  </si>
  <si>
    <t>主控发命令，节点能响应；非法参数有错误码；协议文档更新。</t>
  </si>
  <si>
    <t>记录岗位里“协议解析/自定义协议/通信协议栈”要求。</t>
  </si>
  <si>
    <t>实现故障码和事件上报</t>
  </si>
  <si>
    <t>列出常见设备故障：过压、欠压、通信超时、传感器异常、参数错误。</t>
  </si>
  <si>
    <t>设计故障帧：fault_code、level、timestamp、detail；区分周期状态和突发事件。</t>
  </si>
  <si>
    <t>看开源协议栈或工业设备手册中的故障码组织方式。</t>
  </si>
  <si>
    <t>按键模拟故障上报；串口/CAN日志显示故障等级和处理动作。</t>
  </si>
  <si>
    <t>至少3种故障码；故障能上报、清除、记录；README有故障表。</t>
  </si>
  <si>
    <t>把岗位中的“故障诊断/错误处理/可靠性”归类到能力矩阵。</t>
  </si>
  <si>
    <t>把CAN驱动和协议分层</t>
  </si>
  <si>
    <t>复盘驱动层/协议层/应用层区别，防止main.c继续变臃肿。</t>
  </si>
  <si>
    <t>设计文件：bsp_can.c、can_port.c、can_protocol.c、can_app.c。</t>
  </si>
  <si>
    <t>看CANopenNode源码目录，观察驱动适配层和协议核心如何隔离。</t>
  </si>
  <si>
    <t>重构CAN代码：HAL细节只留在bsp_can.c，业务只调用can_app接口。</t>
  </si>
  <si>
    <t>协议层不直接调用HAL_CAN；main.c只初始化和启动任务。</t>
  </si>
  <si>
    <t>看岗位要求“代码架构/模块化/可维护”，把它和今天重构对应起来。</t>
  </si>
  <si>
    <t>用RTOS承载CAN任务</t>
  </si>
  <si>
    <t>画CAN收发任务模型：rx interrupt→queue→parser task→app。</t>
  </si>
  <si>
    <t>学习CAN接收中断里只入队；CAN解析任务从队列消费；发送任务统一发送。</t>
  </si>
  <si>
    <t>搜索“FreeRTOS CAN queue STM32”，看别人如何避免中断里做复杂解析。</t>
  </si>
  <si>
    <t>实现can_rx_queue和can_process_task；压力测试连续发送多帧。</t>
  </si>
  <si>
    <t>中断中不解析业务；队列满有计数；连续发送50帧不死机。</t>
  </si>
  <si>
    <t>更新岗位雷达：把“RTOS+CAN”作为一个组合能力标记。</t>
  </si>
  <si>
    <t>第5周做成可展示的CAN小项目</t>
  </si>
  <si>
    <t>复盘协议设计、心跳、参数、故障、分层、RTOS队列。</t>
  </si>
  <si>
    <t>整理项目README：项目背景、架构图、协议表、运行效果、下一步。</t>
  </si>
  <si>
    <t>阅读1个CANopenNode示例或文档，写“我暂时不实现CANopen，但理解它解决什么”。</t>
  </si>
  <si>
    <t>录制/截图演示：心跳在线、参数读写、故障上报；tag week05_can_protocol。</t>
  </si>
  <si>
    <t>GitHub能让别人看懂你做了什么；项目描述可放进简历。</t>
  </si>
  <si>
    <t>把这个CAN项目转成简历项目描述3句话。</t>
  </si>
  <si>
    <t>第6周 - Bootloader/IAP/升级协议</t>
  </si>
  <si>
    <t>理解Bootloader/IAP整体流程</t>
  </si>
  <si>
    <t>写出Bootloader和APP的关系：谁先启动、如何跳转、为什么升级。</t>
  </si>
  <si>
    <t>学习启动地址、向量表、Flash分区、APP有效性检查。</t>
  </si>
  <si>
    <t>GitHub搜索“STM32 bootloader IAP F4”，看README和分区表。</t>
  </si>
  <si>
    <t>画Flash布局：Bootloader区、APP区、参数区；写跳转伪代码。</t>
  </si>
  <si>
    <t>能解释为什么要重设MSP和跳转向量表；知道APP起始地址。</t>
  </si>
  <si>
    <t>记录岗位里“Bootloader/OTA/IAP/固件升级”出现次数和行业。</t>
  </si>
  <si>
    <t>实现APP有效性和跳转框架</t>
  </si>
  <si>
    <t>复盘中断向量表首地址、栈顶地址、Reset_Handler。</t>
  </si>
  <si>
    <t>学习判断APP是否合法：栈顶范围、CRC/版本信息、魔术字。</t>
  </si>
  <si>
    <t>看一个Bootloader开源项目如何判断APP有效。</t>
  </si>
  <si>
    <t>写boot_check_app和boot_jump_to_app伪代码/模板代码。</t>
  </si>
  <si>
    <t>代码中有地址宏和有效性检查；流程图能说明跳转步骤。</t>
  </si>
  <si>
    <t>收集1个有“固件升级”要求的岗位，分析它可能用串口/CAN/以太网哪种升级。</t>
  </si>
  <si>
    <t>设计串口IAP升级协议</t>
  </si>
  <si>
    <t>复盘协议包字段：帧头、命令、长度、数据、CRC、序号。</t>
  </si>
  <si>
    <t>设计USART升级命令：start、data、end、ack、error；考虑重传和超时。</t>
  </si>
  <si>
    <t>看GitHub/文章里的YMODEM或自定义IAP协议字段。</t>
  </si>
  <si>
    <t>写iap_protocol.h和解析状态机，不一定立刻写Flash。</t>
  </si>
  <si>
    <t>协议能处理丢包/错包/结束包；有错误码表。</t>
  </si>
  <si>
    <t>岗位雷达增加“协议状态机/升级失败保护”能力项。</t>
  </si>
  <si>
    <t>学习Flash擦写和CRC</t>
  </si>
  <si>
    <t>列出Flash写入风险：掉电、越界、擦错区、校验失败。</t>
  </si>
  <si>
    <t>学习HAL_FLASH_Unlock/Erase/Program；CRC32或简单校验。</t>
  </si>
  <si>
    <t>阅读STM32CubeF4 Flash示例，定位Erase和Program调用顺序。</t>
  </si>
  <si>
    <t>写flash_write_app_chunk接口模板；加入地址边界检查。</t>
  </si>
  <si>
    <t>接口先检查地址再写；错误码完整；不写死魔法数字。</t>
  </si>
  <si>
    <t>找岗位中“可靠升级/异常恢复”的关键词，记录到差距列。</t>
  </si>
  <si>
    <t>把升级思路迁移到CAN</t>
  </si>
  <si>
    <t>复盘CAN帧只有8字节，升级协议为什么要分包。</t>
  </si>
  <si>
    <t>设计CAN IAP分包：start、data(seq,offset,8B)、end、crc、ack。</t>
  </si>
  <si>
    <t>搜索“CAN bootloader STM32”看别人如何处理分包和确认。</t>
  </si>
  <si>
    <t>写CAN升级协议表和接收状态机；先在PC/串口模拟数据包。</t>
  </si>
  <si>
    <t>能说明8字节限制下如何分包；有超时和重传策略。</t>
  </si>
  <si>
    <t>更新CAN岗位：是否提到UDS/Bootloader/刷写/诊断。</t>
  </si>
  <si>
    <t>实现升级状态机Mock</t>
  </si>
  <si>
    <t>画状态机：IDLE→STARTED→RECEIVING→VERIFY→DONE/ERROR。</t>
  </si>
  <si>
    <t>学习状态机编码方式：state enum + event + handler。</t>
  </si>
  <si>
    <t>看开源项目的状态机写法，记录你喜欢的结构。</t>
  </si>
  <si>
    <t>不真正写Flash，先用数组模拟接收固件包并校验CRC。</t>
  </si>
  <si>
    <t>能模拟正常升级、CRC失败、超时三种路径。</t>
  </si>
  <si>
    <t>把“Bootloader项目”改写成简历bullet：背景、难点、结果。</t>
  </si>
  <si>
    <t>第6周复盘：升级能力成型</t>
  </si>
  <si>
    <t>整理Bootloader/IAP知识图：分区、跳转、协议、Flash、CRC、状态机。</t>
  </si>
  <si>
    <t>整理README：为什么做、怎么分区、协议怎么设计、风险如何处理。</t>
  </si>
  <si>
    <t>看1个成熟Bootloader README，学习项目展示方式。</t>
  </si>
  <si>
    <t>提交并tag week06_bootloader；补充流程图和状态机图。</t>
  </si>
  <si>
    <t>能回答“升级中断电怎么办”的基本思路；GitHub资料完整。</t>
  </si>
  <si>
    <t>把升级相关岗位加入目标公司清单，看是否值得作为主项目亮点。</t>
  </si>
  <si>
    <t>第7周 - PWM/编码器/PID/电机控制入门</t>
  </si>
  <si>
    <t>理解电机控制最小闭环</t>
  </si>
  <si>
    <t>列出电机控制链路：PWM输出→驱动器→电机→编码器/测速→控制算法。</t>
  </si>
  <si>
    <t>学习PWM频率、占空比、死区、方向控制；不做高压危险实验。</t>
  </si>
  <si>
    <t>搜索“STM32 PWM motor encoder PID”，收藏2个结构清晰的项目。</t>
  </si>
  <si>
    <t>封装motor_pwm_set和motor_dir_set接口，用LED/PWM模拟输出。</t>
  </si>
  <si>
    <t>接口清晰；知道没有电机时如何先用PWM波形/LED验证。</t>
  </si>
  <si>
    <t>筛选“电机控制/伺服/机器人”岗位，记录必备词：PWM、编码器、PID、FOC、CAN。</t>
  </si>
  <si>
    <t>掌握编码器/测速基本思路</t>
  </si>
  <si>
    <t>复盘定时器输入捕获、编码器模式、计数溢出。</t>
  </si>
  <si>
    <t>学习增量式编码器A/B相、方向、脉冲计数、速度计算。</t>
  </si>
  <si>
    <t>看STM32 TIM Encoder示例或文章，记录初始化关键参数。</t>
  </si>
  <si>
    <t>写encoder_get_count和speed_calc函数，用模拟计数数据测试。</t>
  </si>
  <si>
    <t>给定脉冲数和周期能算速度；考虑计数溢出。</t>
  </si>
  <si>
    <t>分析岗位里“编码器/传感器反馈/闭环控制”的要求层级。</t>
  </si>
  <si>
    <t>建立PID控制直觉</t>
  </si>
  <si>
    <t>用一句话解释P/I/D：当前误差、历史误差、误差变化。</t>
  </si>
  <si>
    <t>学习位置式PID/增量式PID、限幅、积分饱和。</t>
  </si>
  <si>
    <t>看开源PID C代码，记录结构体字段：kp/ki/kd/target/output/limit。</t>
  </si>
  <si>
    <t>写pid.c/h；用数组模拟目标速度和反馈速度，打印输出。</t>
  </si>
  <si>
    <t>PID模块独立于硬件；有输出限幅；README解释参数含义。</t>
  </si>
  <si>
    <t>岗位雷达标记“会PID”如何用项目证明，而不是只写熟悉。</t>
  </si>
  <si>
    <t>做一个速度闭环模拟</t>
  </si>
  <si>
    <t>画速度闭环框图：target→PID→PWM→motor→encoder→feedback。</t>
  </si>
  <si>
    <t>学习控制周期、采样周期、输出限幅、目标斜坡。</t>
  </si>
  <si>
    <t>看电机控制项目README，学习演示图/波形怎么放。</t>
  </si>
  <si>
    <t>用模拟反馈实现速度闭环，串口输出target/feedback/output。</t>
  </si>
  <si>
    <t>输出能逐渐接近目标；不会瞬间跳满；有串口曲线数据。</t>
  </si>
  <si>
    <t>看伺服/机器人公司岗位是否要求CAN控制电机或驱动器协议。</t>
  </si>
  <si>
    <t>了解步进/舵机/伺服差异</t>
  </si>
  <si>
    <t>列出直流电机、步进、舵机、伺服的控制方式差异。</t>
  </si>
  <si>
    <t>学习脉冲+方向、PWM舵机、伺服驱动器、CAN伺服的概念。</t>
  </si>
  <si>
    <t>查1个工业伺服产品手册目录，只看通信接口和控制模式。</t>
  </si>
  <si>
    <t>设计motor_cmd_t结构：模式、目标速度、目标位置、使能、急停。</t>
  </si>
  <si>
    <t>能说明不同电机适合什么场景；命令结构能被CAN协议承载。</t>
  </si>
  <si>
    <t>目标公司打探：找一家做伺服/机器人/自动化的公司，记录产品线。</t>
  </si>
  <si>
    <t>用CAN承载电机控制命令</t>
  </si>
  <si>
    <t>复盘第5周CAN协议，把命令/状态/故障迁移到电机节点。</t>
  </si>
  <si>
    <t>设计CAN电机命令：enable、set_speed、set_pos、stop；状态帧返回速度/故障。</t>
  </si>
  <si>
    <t>看CANopen中PDO用于周期数据的思想，只理解为什么实时数据不用复杂请求。</t>
  </si>
  <si>
    <t>实现模拟电机节点：收到CAN命令后更新target，周期上报status。</t>
  </si>
  <si>
    <t>命令帧能改变目标；状态帧周期上报；急停命令优先级最高。</t>
  </si>
  <si>
    <t>记录岗位里“CAN控制电机/伺服调试”要求，纳入项目亮点。</t>
  </si>
  <si>
    <t>第7周电机控制复盘</t>
  </si>
  <si>
    <t>整理PWM、编码器、PID、CAN电机命令之间的关系。</t>
  </si>
  <si>
    <t>把本周内容写成项目小节：电机控制模拟节点。</t>
  </si>
  <si>
    <t>看一个电机控制开源项目的README和代码分层。</t>
  </si>
  <si>
    <t>tag week07_motor_control；补充闭环框图和串口数据截图。</t>
  </si>
  <si>
    <t>能回答“PID输出为什么要限幅”；项目能和CAN协议结合展示。</t>
  </si>
  <si>
    <t>判断自己是否想主攻工控/机器人/电机方向，写下理由。</t>
  </si>
  <si>
    <t>第8周 - RS485/Modbus/lwIP/工业协议视野</t>
  </si>
  <si>
    <t>理解RS485物理层和半双工</t>
  </si>
  <si>
    <t>对比CAN和RS485：总线、仲裁、协议、物理层。</t>
  </si>
  <si>
    <t>学习RS485 A/B差分、半双工、DE/RE方向控制、终端电阻。</t>
  </si>
  <si>
    <t>搜索“STM32 RS485 Modbus RTU HAL”，收藏2个参考工程。</t>
  </si>
  <si>
    <t>设计rs485_send/rs485_recv接口；用UART模拟半双工方向控制。</t>
  </si>
  <si>
    <t>能说明RS485不是协议，Modbus才是常见上层协议。</t>
  </si>
  <si>
    <t>筛选“工业通信/Modbus/RS485”岗位，记录行业和薪资范围。</t>
  </si>
  <si>
    <t>掌握Modbus RTU帧和CRC</t>
  </si>
  <si>
    <t>写出Modbus RTU帧：地址、功能码、数据、CRC。</t>
  </si>
  <si>
    <t>学习03读保持寄存器、06写单寄存器、16写多寄存器；CRC16。</t>
  </si>
  <si>
    <t>阅读libmodbus README或源码目录，理解它支持RTU/TCP和常见功能码。</t>
  </si>
  <si>
    <t>写modbus_crc16函数，并用已知数据测试。</t>
  </si>
  <si>
    <t>给定一帧能算CRC；能解释功能码03/06/16用途。</t>
  </si>
  <si>
    <t>岗位雷达新增Modbus RTU/TCP字段，统计出现频率。</t>
  </si>
  <si>
    <t>实现Modbus从站寄存器模型</t>
  </si>
  <si>
    <t>复盘寄存器表：地址、名称、读写权限、缩放系数。</t>
  </si>
  <si>
    <t>设计holding_registers数组和寄存器映射表。</t>
  </si>
  <si>
    <t>看libmodbus示例如何定义mapping/registers。</t>
  </si>
  <si>
    <t>实现功能码03读取保持寄存器的解析和响应组包。</t>
  </si>
  <si>
    <t>能按请求地址返回寄存器；非法地址返回异常码。</t>
  </si>
  <si>
    <t>分析1个“工业现场调试”岗位，记录它对通信协议的组合要求。</t>
  </si>
  <si>
    <t>实现Modbus写寄存器和参数配置</t>
  </si>
  <si>
    <t>复盘写参数的风险：越界、权限、掉电保存、非法值。</t>
  </si>
  <si>
    <t>学习功能码06/16；设计参数合法性检查。</t>
  </si>
  <si>
    <t>阅读libmodbus中写寄存器相关函数名，了解库的接口风格。</t>
  </si>
  <si>
    <t>实现06写单寄存器；可通过串口模拟请求帧测试。</t>
  </si>
  <si>
    <t>非法值被拒绝；响应帧正确；寄存器表更新。</t>
  </si>
  <si>
    <t>把“参数配置/设备调试/协议解析”加入能力矩阵。</t>
  </si>
  <si>
    <t>了解以太网/lwIP/Modbus TCP</t>
  </si>
  <si>
    <t>对比Modbus RTU和Modbus TCP：CRC、MBAP头、传输层。</t>
  </si>
  <si>
    <t>学习lwIP基本概念：netif、TCP/UDP、socket/raw API；了解Modbus TCP帧。</t>
  </si>
  <si>
    <t>阅读lwIP简介和目录，只看它为什么适合嵌入式。</t>
  </si>
  <si>
    <t>画Modbus TCP帧结构；写一个Modbus RTU到TCP差异表。</t>
  </si>
  <si>
    <t>能说明RTU和TCP帧格式主要差异；知道lwIP解决什么问题。</t>
  </si>
  <si>
    <t>筛选岗位中“以太网/TCP/IP/lwIP”要求，评估是否放入后续加强。</t>
  </si>
  <si>
    <t>拓展工业协议视野：EtherCAT/OPC UA</t>
  </si>
  <si>
    <t>写出今天目标：只建立地图，不深入实现。</t>
  </si>
  <si>
    <t>了解EtherCAT适合实时运动控制，OPC UA适合设备到上位系统的信息建模。</t>
  </si>
  <si>
    <t>浏览open62541 README和一个EtherCAT介绍，记录应用场景。</t>
  </si>
  <si>
    <t>整理工业协议对比表：CAN/Modbus/EtherCAT/OPC UA/RS485。</t>
  </si>
  <si>
    <t>能说出每个协议大概用在哪里；不把物理层和协议混淆。</t>
  </si>
  <si>
    <t>目标公司打探：看目标公司产品是否支持EtherCAT/Modbus/CANopen。</t>
  </si>
  <si>
    <t>第8周工业通信复盘</t>
  </si>
  <si>
    <t>整理RS485、Modbus、以太网、工业协议地图。</t>
  </si>
  <si>
    <t>把Modbus从站和CAN协议项目对比：帧、寄存器、状态、故障。</t>
  </si>
  <si>
    <t>看一个工业通信项目README，学习如何展示协议表。</t>
  </si>
  <si>
    <t>tag week08_modbus；补充寄存器表、测试帧、协议对比图。</t>
  </si>
  <si>
    <t>GitHub有Modbus协议文档；岗位雷达至少40条。</t>
  </si>
  <si>
    <t>周汇总：当前市场更偏CAN、Modbus、RTOS还是Linux？写判断。</t>
  </si>
  <si>
    <t>第9周 - 工业IO节点综合项目</t>
  </si>
  <si>
    <t>定义一个综合项目：工业IO节点</t>
  </si>
  <si>
    <t>写项目一句话：一个支持CAN/Modbus的F407工业IO节点。</t>
  </si>
  <si>
    <t>定义需求：采集输入、控制输出、CAN状态、Modbus寄存器、故障上报、串口调试。</t>
  </si>
  <si>
    <t>看2个工业设备/IO模块产品页，学习它们如何描述功能。</t>
  </si>
  <si>
    <t>写项目PRD：硬件假设、功能列表、通信协议、验收指标。</t>
  </si>
  <si>
    <t>需求不是空泛学习，而是能对应岗位JD的项目。</t>
  </si>
  <si>
    <t>把目标岗位要求映射到项目功能：CAN、RTOS、Modbus、故障诊断分别对应哪部分。</t>
  </si>
  <si>
    <t>搭建项目架构</t>
  </si>
  <si>
    <t>复盘前面模块：bsp、driver、protocol、app、docs。</t>
  </si>
  <si>
    <t>设计项目目录和任务：io_task、can_task、modbus_task、monitor_task、log_task。</t>
  </si>
  <si>
    <t>看一个成熟工程目录，学习docs/scripts/tests如何放。</t>
  </si>
  <si>
    <t>创建工程骨架和README目录；画架构图。</t>
  </si>
  <si>
    <t>每个模块职责清楚；README有整体架构图。</t>
  </si>
  <si>
    <t>挑3个目标岗位，检查项目架构是否覆盖它们的核心要求。</t>
  </si>
  <si>
    <t>实现数据采集任务</t>
  </si>
  <si>
    <t>复盘ADC滤波、定时器周期任务、寄存器表。</t>
  </si>
  <si>
    <t>设计DI/AI数据结构、采样周期、滤波、状态缓存。</t>
  </si>
  <si>
    <t>看开源项目如何定义sensor_data_t或io_status_t。</t>
  </si>
  <si>
    <t>实现io_task：周期更新模拟输入/ADC值；串口status能查看。</t>
  </si>
  <si>
    <t>数据周期更新；模块可被CAN和Modbus读取。</t>
  </si>
  <si>
    <t>岗位雷达更新：采集/传感器/IO模块关键词。</t>
  </si>
  <si>
    <t>接入CAN协议任务</t>
  </si>
  <si>
    <t>复盘第5周CAN协议ID表和心跳。</t>
  </si>
  <si>
    <t>把综合项目状态映射到CAN状态帧和故障帧。</t>
  </si>
  <si>
    <t>回看CANopen PDO/Heartbeat概念，借鉴周期状态和心跳分离。</t>
  </si>
  <si>
    <t>实现CAN周期状态上报、参数读取、输出控制命令。</t>
  </si>
  <si>
    <t>CAN能读状态、控输出、报故障；协议表和代码一致。</t>
  </si>
  <si>
    <t>把CAN项目亮点写成简历版本：协议设计、心跳、故障、分层。</t>
  </si>
  <si>
    <t>接入Modbus寄存器表</t>
  </si>
  <si>
    <t>复盘Modbus寄存器模型和异常码。</t>
  </si>
  <si>
    <t>设计寄存器表：版本、输入状态、输出控制、故障码、采样值。</t>
  </si>
  <si>
    <t>看libmodbus mapping思路，学习寄存器和业务变量分离。</t>
  </si>
  <si>
    <t>把IO状态映射到Modbus 03/06；非法写入返回错误。</t>
  </si>
  <si>
    <t>同一个IO状态可被CAN和Modbus访问；寄存器表写入README。</t>
  </si>
  <si>
    <t>更新岗位雷达：CAN+Modbus组合岗位优先级提高。</t>
  </si>
  <si>
    <t>加入故障、日志和监控</t>
  </si>
  <si>
    <t>列出综合项目故障：通信超时、参数非法、采样异常、任务卡死。</t>
  </si>
  <si>
    <t>设计fault_manager：故障码、等级、上报、清除、日志。</t>
  </si>
  <si>
    <t>阅读1个项目的error/fault模块命名，参考错误码设计。</t>
  </si>
  <si>
    <t>实现故障触发和清除；CAN/Modbus/串口都能看到故障。</t>
  </si>
  <si>
    <t>至少5个故障码；故障有来源、等级、清除条件。</t>
  </si>
  <si>
    <t>把“可靠性/故障诊断”作为项目难点写入简历草稿。</t>
  </si>
  <si>
    <t>第9周项目演示版本</t>
  </si>
  <si>
    <t>整理项目验收清单：能编译、能运行、能演示、能解释。</t>
  </si>
  <si>
    <t>写README：项目背景、功能、架构、协议表、演示步骤、截图。</t>
  </si>
  <si>
    <t>学习优秀README结构，补充目录、图片、表格。</t>
  </si>
  <si>
    <t>录制或截图演示：串口status、CAN状态、Modbus寄存器、故障上报。</t>
  </si>
  <si>
    <t>GitHub首页能展示项目价值；tag week09_industrial_io。</t>
  </si>
  <si>
    <t>用项目反推简历：哪些岗位会对这个项目感兴趣。</t>
  </si>
  <si>
    <t>第10周 - 故障诊断、看门狗、通信鲁棒性</t>
  </si>
  <si>
    <t>加入独立看门狗和任务健康监控</t>
  </si>
  <si>
    <t>写出看门狗目的：系统跑飞后自动恢复，不是掩盖Bug。</t>
  </si>
  <si>
    <t>学习IWDG/WWDG、喂狗策略、任务心跳表。</t>
  </si>
  <si>
    <t>看开源项目中watchdog/feed/health_monitor命名。</t>
  </si>
  <si>
    <t>实现每个任务更新心跳，monitor_task判断是否允许喂狗。</t>
  </si>
  <si>
    <t>某任务超时后能记录故障；不是所有地方乱喂狗。</t>
  </si>
  <si>
    <t>岗位雷达记录“稳定性/可靠性/量产经验”相关表述。</t>
  </si>
  <si>
    <t>系统化故障处理</t>
  </si>
  <si>
    <t>复盘故障码、等级、恢复策略、日志。</t>
  </si>
  <si>
    <t>设计故障策略：忽略、告警、降级、停机、重启。</t>
  </si>
  <si>
    <t>看工业设备手册中的报警等级，学习描述方式。</t>
  </si>
  <si>
    <t>给每个故障码补处理策略和清除条件；串口命令fault list/clear。</t>
  </si>
  <si>
    <t>故障不是只打印；有等级、有策略、有清除条件。</t>
  </si>
  <si>
    <t>找1个要求“异常处理/故障定位”的岗位，提炼面试可能问法。</t>
  </si>
  <si>
    <t>通信鲁棒性：超时、重试、队列满</t>
  </si>
  <si>
    <t>列出通信问题：丢包、乱序、重复、超时、队列满、总线关闭。</t>
  </si>
  <si>
    <t>学习CAN错误状态、发送邮箱、接收FIFO、超时重试、错误计数。</t>
  </si>
  <si>
    <t>搜索HAL_CAN_GetError和bus-off处理示例，记录恢复思路。</t>
  </si>
  <si>
    <t>给CAN/Modbus发送接收加入超时、错误计数、队列满统计。</t>
  </si>
  <si>
    <t>错误都有计数；队列满不会死机；日志能定位哪个模块出错。</t>
  </si>
  <si>
    <t>岗位雷达：把“现场问题定位/通信异常处理”作为高级能力。</t>
  </si>
  <si>
    <t>日志和追踪能力</t>
  </si>
  <si>
    <t>复盘日志等级：DEBUG/INFO/WARN/ERR。</t>
  </si>
  <si>
    <t>设计日志宏、模块名、时间戳、环形缓冲；避免日志阻塞实时任务。</t>
  </si>
  <si>
    <t>看开源嵌入式日志库或项目中的log格式。</t>
  </si>
  <si>
    <t>实现log模块：统一格式[time][module][level] message。</t>
  </si>
  <si>
    <t>日志格式统一；可开关等级；不会在中断里大量打印。</t>
  </si>
  <si>
    <t>把“会定位问题”转化为面试故事：问题、分析、工具、结果。</t>
  </si>
  <si>
    <t>测试思维：Mock和最小单元测试</t>
  </si>
  <si>
    <t>列出可脱离硬件测试的模块：CRC、协议解析、PID、状态机。</t>
  </si>
  <si>
    <t>学习把纯C逻辑从HAL中拆出来，便于PC端编译测试。</t>
  </si>
  <si>
    <t>看开源项目tests目录，学习测试用例命名。</t>
  </si>
  <si>
    <t>为modbus_crc、can_protocol_parse、iap_state_machine写输入输出测试表。</t>
  </si>
  <si>
    <t>至少5个测试用例；协议解析可在无硬件时验证。</t>
  </si>
  <si>
    <t>岗位雷达记录“单元测试/代码质量/持续集成”是否出现。</t>
  </si>
  <si>
    <t>资源和性能检查</t>
  </si>
  <si>
    <t>复盘RAM/Flash/栈/堆/CPU占用这些指标为什么重要。</t>
  </si>
  <si>
    <t>学习FreeRTOS栈高水位、heap剩余、任务运行周期、最坏耗时。</t>
  </si>
  <si>
    <t>看FreeRTOS调试接口，如uxTaskGetStackHighWaterMark。</t>
  </si>
  <si>
    <t>打印任务栈剩余、队列使用率、错误计数；形成运行统计页。</t>
  </si>
  <si>
    <t>能看到每个任务栈余量；知道哪个队列最容易满。</t>
  </si>
  <si>
    <t>把“资源受限下优化”作为项目难点写入简历草稿。</t>
  </si>
  <si>
    <t>第10周可靠性复盘</t>
  </si>
  <si>
    <t>整理可靠性清单：看门狗、故障、超时、日志、测试、资源。</t>
  </si>
  <si>
    <t>更新项目README的“可靠性设计”章节。</t>
  </si>
  <si>
    <t>看成熟项目如何写Known Issues/Limitations。</t>
  </si>
  <si>
    <t>tag week10_reliability；补充故障注入演示截图。</t>
  </si>
  <si>
    <t>项目不只是能跑，还能说明异常时怎么处理。</t>
  </si>
  <si>
    <t>用可靠性章节重新匹配目标岗位，筛选更适合你的公司。</t>
  </si>
  <si>
    <t>第11周 - 代码架构、状态机、可维护性</t>
  </si>
  <si>
    <t>建立分层架构意识</t>
  </si>
  <si>
    <t>画当前项目依赖图，找出main.c、HAL、业务逻辑混在一起的地方。</t>
  </si>
  <si>
    <t>学习BSP/Driver/Service/App分层；接口向上稳定，细节向下隐藏。</t>
  </si>
  <si>
    <t>看STM32CubeF4/Zephyr/FreeRTOS等项目目录，比较不同层次。</t>
  </si>
  <si>
    <t>重构一个模块：把HAL调用藏到port层或bsp层。</t>
  </si>
  <si>
    <t>上层业务不直接调用底层HAL；接口命名清楚。</t>
  </si>
  <si>
    <t>岗位中“良好代码习惯/架构设计”如何体现？写成项目证明。</t>
  </si>
  <si>
    <t>用状态机管理复杂流程</t>
  </si>
  <si>
    <t>列出项目中适合状态机的部分：IAP、故障恢复、连接状态、命令处理。</t>
  </si>
  <si>
    <t>学习状态机表驱动/函数指针/事件驱动三种写法。</t>
  </si>
  <si>
    <t>看开源项目的state_machine或fsm命名。</t>
  </si>
  <si>
    <t>把IAP或通信连接管理改成明确状态机，补状态转移图。</t>
  </si>
  <si>
    <t>状态、事件、动作分离；非法状态有处理。</t>
  </si>
  <si>
    <t>准备面试回答：为什么状态机比一堆if else更好。</t>
  </si>
  <si>
    <t>配置管理和参数保存</t>
  </si>
  <si>
    <t>复盘参数来源：默认值、Flash保存、串口/CAN/Modbus修改。</t>
  </si>
  <si>
    <t>设计config_manager：版本、magic、CRC、默认参数、恢复出厂。</t>
  </si>
  <si>
    <t>看嵌入式项目config/settings模块的字段组织。</t>
  </si>
  <si>
    <t>实现参数结构体和合法性检查；模拟保存/加载流程。</t>
  </si>
  <si>
    <t>参数有版本和CRC；非法配置能恢复默认。</t>
  </si>
  <si>
    <t>岗位雷达记录“参数管理/掉电保存/配置工具”相关需求。</t>
  </si>
  <si>
    <t>提升可移植性和可测试性</t>
  </si>
  <si>
    <t>列出和硬件强绑定的函数，标记哪些可以抽象。</t>
  </si>
  <si>
    <t>学习port层思想：can_port_send、time_get_ms、flash_write等接口。</t>
  </si>
  <si>
    <t>看CANopenNode等协议栈如何通过driver/port适配不同硬件。</t>
  </si>
  <si>
    <t>为CAN、Flash、Time建立port接口，让协议层不依赖具体芯片。</t>
  </si>
  <si>
    <t>换芯片时主要改port层；协议层纯C逻辑可复用。</t>
  </si>
  <si>
    <t>把“可移植协议模块”作为项目亮点，适配多公司需求。</t>
  </si>
  <si>
    <t>建立代码评审清单</t>
  </si>
  <si>
    <t>回看最近代码，找3个自己写得不舒服的地方。</t>
  </si>
  <si>
    <t>制作C代码评审清单：命名、边界、错误码、注释、魔法数、线程安全。</t>
  </si>
  <si>
    <t>看成熟开源项目的CONTRIBUTING或代码规范。</t>
  </si>
  <si>
    <t>按清单审查一个模块并修改；提交commit说明修改原因。</t>
  </si>
  <si>
    <t>至少修复5类问题；commit message能看出为什么改。</t>
  </si>
  <si>
    <t>面试准备：讲一个你如何重构和提升代码质量的故事。</t>
  </si>
  <si>
    <t>补齐文档、图和演示脚本</t>
  </si>
  <si>
    <t>列出项目文档缺口：接线、编译、协议、架构、测试、FAQ。</t>
  </si>
  <si>
    <t>学习README结构：Overview、Features、Architecture、Protocol、Build、Demo、Roadmap。</t>
  </si>
  <si>
    <t>看3个优秀GitHub README，借鉴目录和截图摆放。</t>
  </si>
  <si>
    <t>补齐README、docs/protocol.md、docs/test_log.md、docs/issues.md。</t>
  </si>
  <si>
    <t>陌生人能按README复现主要功能；协议表和代码一致。</t>
  </si>
  <si>
    <t>把README当成简历附件，检查HR/面试官能否3分钟看懂。</t>
  </si>
  <si>
    <t>第11周项目打磨版</t>
  </si>
  <si>
    <t>复盘架构、状态机、配置、port、review、文档。</t>
  </si>
  <si>
    <t>合并重构成果，确保项目仍能编译运行。</t>
  </si>
  <si>
    <t>看目标岗位JD，检查项目是否缺一个必须项。</t>
  </si>
  <si>
    <t>tag week11_architecture；生成一页项目展示图。</t>
  </si>
  <si>
    <t>项目不仅有功能，还有架构和文档；目标岗位清晰。</t>
  </si>
  <si>
    <t>确定3-5家目标公司和对应岗位，写匹配理由。</t>
  </si>
  <si>
    <t>第12周 - 简历、项目包装、面试与投递</t>
  </si>
  <si>
    <t>把项目写进简历</t>
  </si>
  <si>
    <t>列出项目亮点：CAN协议、RTOS任务、Modbus、Bootloader、故障诊断、GitHub。</t>
  </si>
  <si>
    <t>学习简历项目写法：背景/技术栈/职责/难点/结果，避免只堆名词。</t>
  </si>
  <si>
    <t>看目标岗位JD，用它的语言重写项目关键词。</t>
  </si>
  <si>
    <t>写3版项目描述：简短版、详细版、面试讲述版。</t>
  </si>
  <si>
    <t>每个亮点都有代码或截图证据；不是“熟悉CAN”这种空话。</t>
  </si>
  <si>
    <t>选择10个岗位，判断匹配度A/B/C，不急着全投。</t>
  </si>
  <si>
    <t>准备项目STAR故事</t>
  </si>
  <si>
    <t>选3个项目难点：CAN超时、协议分层、故障诊断、Bootloader状态机。</t>
  </si>
  <si>
    <t>用STAR法写故事：Situation、Task、Action、Result。</t>
  </si>
  <si>
    <t>看面试经验中嵌入式项目常问问题，整理问题池。</t>
  </si>
  <si>
    <t>每个难点写一段2分钟讲述稿，并录音自查。</t>
  </si>
  <si>
    <t>能不用看笔记讲清3个项目难点；有数据/结果支撑。</t>
  </si>
  <si>
    <t>目标公司打探：产品线、岗位团队、技术栈、面试重点。</t>
  </si>
  <si>
    <t>集中准备CAN面试</t>
  </si>
  <si>
    <t>列出CAN必问题：仲裁、过滤器、位时序、错误帧、bus-off、协议设计。</t>
  </si>
  <si>
    <t>整理CAN问答卡片，每题用“概念+项目里怎么做”回答。</t>
  </si>
  <si>
    <t>看CANopen/UDS/J1939概念，不深入但知道它们是什么。</t>
  </si>
  <si>
    <t>模拟回答：如何设计心跳？如何处理节点离线？过滤器怎么配？</t>
  </si>
  <si>
    <t>至少20道CAN题；每题能结合项目回答。</t>
  </si>
  <si>
    <t>筛选CAN强相关岗位，优先投递与你项目匹配的。</t>
  </si>
  <si>
    <t>集中准备RTOS和C语言面试</t>
  </si>
  <si>
    <t>列出RTOS必问题：任务、队列、信号量、互斥、优先级、栈溢出。</t>
  </si>
  <si>
    <t>整理C语言/嵌入式基础：volatile、指针、结构体、内存、位操作、中断。</t>
  </si>
  <si>
    <t>看岗位JD中的C/C++要求，标记自己薄弱点。</t>
  </si>
  <si>
    <t>手写/口述5个小题：环形缓冲、CRC、状态机、队列、位操作。</t>
  </si>
  <si>
    <t>能解释队列和信号量区别；能写一个简单环形缓冲。</t>
  </si>
  <si>
    <t>投递前检查简历是否与目标岗位关键词一致。</t>
  </si>
  <si>
    <t>做目标公司深度调研</t>
  </si>
  <si>
    <t>确定目标公司分层：冲刺、匹配、保底。</t>
  </si>
  <si>
    <t>对5家公司做调研：产品、客户、技术栈、招聘频率、面试信息、风险。</t>
  </si>
  <si>
    <t>用官网、招聘JD、脉脉/牛客/知乎/企查查等公开信息交叉验证。</t>
  </si>
  <si>
    <t>填写目标公司打探表，准备每家公司2个面试反问问题。</t>
  </si>
  <si>
    <t>每家公司知道做什么产品、为什么需要嵌入式、你匹配哪里。</t>
  </si>
  <si>
    <t>形成投递顺序：先保底练手，再匹配，最后冲刺。</t>
  </si>
  <si>
    <t>模拟面试和GitHub最后打磨</t>
  </si>
  <si>
    <t>检查GitHub：README、截图、tag、目录、编译说明、项目图。</t>
  </si>
  <si>
    <t>进行一次45分钟模拟面试：自我介绍、项目、CAN、RTOS、C语言、反问。</t>
  </si>
  <si>
    <t>看优秀GitHub项目首页，补齐徽章/目录/演示图但不要过度花哨。</t>
  </si>
  <si>
    <t>根据模拟面试问题修正简历和README；删除不成熟内容。</t>
  </si>
  <si>
    <t>自我介绍2分钟以内；项目讲述清晰；GitHub第一屏能看懂。</t>
  </si>
  <si>
    <t>开始小批量投递3-5个匹配岗位，记录反馈。</t>
  </si>
  <si>
    <t>制定投递和继续学习计划</t>
  </si>
  <si>
    <t>复盘12周：完成了什么、还缺什么、市场反馈是什么。</t>
  </si>
  <si>
    <t>制定接下来4周投递节奏：每天岗位雷达、每周复盘、每周优化项目。</t>
  </si>
  <si>
    <t>总结“摸鱼自学”最有效的3种方式，固化成习惯。</t>
  </si>
  <si>
    <t>输出最终项目发布版；打tag v1.0；整理面试材料文件夹。</t>
  </si>
  <si>
    <t>不是“学完就结束”，而是进入持续投递和迭代循环。</t>
  </si>
  <si>
    <t>建立投递看板：已投、沟通中、面试、挂掉、offer；持续调整。</t>
  </si>
  <si>
    <t>84天每日目标总表（用于快速浏览，不作为状态统计源）</t>
  </si>
  <si>
    <t>阶段主题</t>
  </si>
  <si>
    <t>摸鱼自学1小时</t>
  </si>
  <si>
    <t>代码实战/输出</t>
  </si>
  <si>
    <t>完成判定</t>
  </si>
  <si>
    <t>F407_LED_UART工程 + 环境安装笔记</t>
  </si>
  <si>
    <t>时钟树截图 + 启动流程笔记</t>
  </si>
  <si>
    <t>按键中断Demo + 调用链图</t>
  </si>
  <si>
    <t>串口命令Demo + 技术词Top5</t>
  </si>
  <si>
    <t>GitHub仓库链接 + README</t>
  </si>
  <si>
    <t>模块化后的工程 + 关键词差距表</t>
  </si>
  <si>
    <t>TIM心跳Demo</t>
  </si>
  <si>
    <t>串口命令解析模块</t>
  </si>
  <si>
    <t>I2C寄存器读写模板</t>
  </si>
  <si>
    <t>SPI驱动模板 + I2C/SPI对比表</t>
  </si>
  <si>
    <t>ADC滤波函数 + 测试数据</t>
  </si>
  <si>
    <t>PWM呼吸灯Demo + motor接口</t>
  </si>
  <si>
    <t>FreeRTOS双任务Demo</t>
  </si>
  <si>
    <t>串口命令队列Demo</t>
  </si>
  <si>
    <t>中断+信号量Demo</t>
  </si>
  <si>
    <t>系统tick统计模块</t>
  </si>
  <si>
    <t>RTOS调试清单 + 运行状态打印</t>
  </si>
  <si>
    <t>RTOS命令中心Demo</t>
  </si>
  <si>
    <t>CAN硬件准备清单 + 接线图</t>
  </si>
  <si>
    <t>CAN ID分配表v1</t>
  </si>
  <si>
    <t>CAN初始化代码 + 位时序计算笔记</t>
  </si>
  <si>
    <t>CAN Loopback Demo</t>
  </si>
  <si>
    <t>CAN Filter Demo + 过滤器笔记</t>
  </si>
  <si>
    <t>CAN调试工具函数</t>
  </si>
  <si>
    <t>CAN协议v1文档 + 头文件</t>
  </si>
  <si>
    <t>CAN心跳模块</t>
  </si>
  <si>
    <t>CAN参数读写Demo</t>
  </si>
  <si>
    <t>CAN故障上报模块</t>
  </si>
  <si>
    <t>分层后的CAN协议工程</t>
  </si>
  <si>
    <t>RTOS+CAN协议Demo</t>
  </si>
  <si>
    <t>Flash分区图 + Bootloader流程图</t>
  </si>
  <si>
    <t>Bootloader跳转模板</t>
  </si>
  <si>
    <t>串口IAP协议文档</t>
  </si>
  <si>
    <t>Flash写入接口模板</t>
  </si>
  <si>
    <t>CAN IAP协议草案</t>
  </si>
  <si>
    <t>IAP Mock状态机Demo</t>
  </si>
  <si>
    <t>电机控制接口模板</t>
  </si>
  <si>
    <t>编码器测速计算模块</t>
  </si>
  <si>
    <t>PID模块 + 模拟测试</t>
  </si>
  <si>
    <t>速度闭环模拟Demo</t>
  </si>
  <si>
    <t>电机命令结构体 + 产品调研记录</t>
  </si>
  <si>
    <t>CAN电机节点模拟Demo</t>
  </si>
  <si>
    <t>RS485接口设计文档</t>
  </si>
  <si>
    <t>Modbus CRC模块 + 帧格式笔记</t>
  </si>
  <si>
    <t>Modbus从站03功能码Demo</t>
  </si>
  <si>
    <t>Modbus写寄存器Demo</t>
  </si>
  <si>
    <t>Modbus TCP差异表</t>
  </si>
  <si>
    <t>工业协议对比表</t>
  </si>
  <si>
    <t>工业IO节点PRD</t>
  </si>
  <si>
    <t>项目架构图 + 空工程骨架</t>
  </si>
  <si>
    <t>IO采集任务Demo</t>
  </si>
  <si>
    <t>工业IO CAN接口</t>
  </si>
  <si>
    <t>工业IO Modbus接口</t>
  </si>
  <si>
    <t>故障管理模块</t>
  </si>
  <si>
    <t>任务健康监控模块</t>
  </si>
  <si>
    <t>故障策略表 + fault命令</t>
  </si>
  <si>
    <t>通信鲁棒性改造</t>
  </si>
  <si>
    <t>统一日志模块</t>
  </si>
  <si>
    <t>测试用例表 + 纯函数测试</t>
  </si>
  <si>
    <t>运行统计模块</t>
  </si>
  <si>
    <t>项目分层图 + 重构提交</t>
  </si>
  <si>
    <t>状态机重构 + 状态图</t>
  </si>
  <si>
    <t>参数管理模块</t>
  </si>
  <si>
    <t>port层接口文件</t>
  </si>
  <si>
    <t>代码Review清单 + 重构commit</t>
  </si>
  <si>
    <t>完整项目文档</t>
  </si>
  <si>
    <t>简历项目描述v1</t>
  </si>
  <si>
    <t>项目故事库</t>
  </si>
  <si>
    <t>CAN面试题卡 + 投递候选清单</t>
  </si>
  <si>
    <t>RTOS+C语言面试卡片</t>
  </si>
  <si>
    <t>目标公司调研表</t>
  </si>
  <si>
    <t>简历v2 + GitHub polished + 模拟面试记录</t>
  </si>
  <si>
    <t>CAN通信专项路线：从会收发，到能做协议设计</t>
  </si>
  <si>
    <t>阶段</t>
  </si>
  <si>
    <t>对应天数</t>
  </si>
  <si>
    <t>必学概念</t>
  </si>
  <si>
    <t>动手实验</t>
  </si>
  <si>
    <t>产出物</t>
  </si>
  <si>
    <t>检查点</t>
  </si>
  <si>
    <t>参考链接/关键词</t>
  </si>
  <si>
    <t>硬件与物理层</t>
  </si>
  <si>
    <t>第4周 Day1</t>
  </si>
  <si>
    <t>CAN_H/CAN_L、收发器、终端电阻、总线拓扑</t>
  </si>
  <si>
    <t>画接线图；确认是否有USB-CAN/收发器；无硬件则Loopback</t>
  </si>
  <si>
    <t>CAN硬件准备清单</t>
  </si>
  <si>
    <t>能解释为什么MCU不能直接接CAN总线</t>
  </si>
  <si>
    <t>STM32 CAN transceiver SN65HVD230 TJA1050</t>
  </si>
  <si>
    <t>帧格式与ID</t>
  </si>
  <si>
    <t>第4周 Day2</t>
  </si>
  <si>
    <t>标准帧/扩展帧、DLC、仲裁、优先级</t>
  </si>
  <si>
    <t>设计0x100心跳、0x200状态、0x300命令、0x400故障</t>
  </si>
  <si>
    <t>CAN ID表v1</t>
  </si>
  <si>
    <t>每个ID有方向、周期、字段说明</t>
  </si>
  <si>
    <t>CAN frame arbitration standard ID</t>
  </si>
  <si>
    <t>位时序</t>
  </si>
  <si>
    <t>第4周 Day3</t>
  </si>
  <si>
    <t>Prescaler、BS1、BS2、SJW、采样点、500kbps</t>
  </si>
  <si>
    <t>CubeMX配置CAN1波特率；注释Timing参数</t>
  </si>
  <si>
    <t>位时序计算笔记</t>
  </si>
  <si>
    <t>能根据PCLK说明波特率来源</t>
  </si>
  <si>
    <t>STM32 CAN bit timing sample point</t>
  </si>
  <si>
    <t>基础收发</t>
  </si>
  <si>
    <t>第4周 Day4</t>
  </si>
  <si>
    <t>HAL_CAN_Start/AddTxMessage/RxFifoCallback</t>
  </si>
  <si>
    <t>Loopback模式发送0x123并打印接收帧</t>
  </si>
  <si>
    <t>Loopback Demo</t>
  </si>
  <si>
    <t>串口能打印ID/DLC/Data</t>
  </si>
  <si>
    <t>STM32CubeF4 CAN example</t>
  </si>
  <si>
    <t>过滤器</t>
  </si>
  <si>
    <t>第4周 Day5</t>
  </si>
  <si>
    <t>Mask/List、FIFO0/FIFO1、ID匹配</t>
  </si>
  <si>
    <t>只接收0x123，过滤0x456</t>
  </si>
  <si>
    <t>Filter Demo</t>
  </si>
  <si>
    <t>能画出掩码匹配逻辑</t>
  </si>
  <si>
    <t>HAL_CAN_ConfigFilter MaskId</t>
  </si>
  <si>
    <t>调试工具函数</t>
  </si>
  <si>
    <t>第4周 Day6</t>
  </si>
  <si>
    <t>日志格式、时间戳、错误码、发送失败处理</t>
  </si>
  <si>
    <t>can_print_frame/can_send_test</t>
  </si>
  <si>
    <t>打印格式统一，错误有计数</t>
  </si>
  <si>
    <t>USB-CAN python-can CAN log</t>
  </si>
  <si>
    <t>协议设计</t>
  </si>
  <si>
    <t>第5周 Day1</t>
  </si>
  <si>
    <t>节点、消息类型、周期、超时、方向</t>
  </si>
  <si>
    <t>写can_protocol.h和协议文档</t>
  </si>
  <si>
    <t>协议v1</t>
  </si>
  <si>
    <t>协议表能指导代码实现</t>
  </si>
  <si>
    <t>CANopen PDO SDO Heartbeat concept</t>
  </si>
  <si>
    <t>心跳在线</t>
  </si>
  <si>
    <t>第5周 Day2</t>
  </si>
  <si>
    <t>heartbeat、last_rx_tick、timeout、上线/离线</t>
  </si>
  <si>
    <t>停止心跳模拟离线，恢复后上线</t>
  </si>
  <si>
    <t>心跳模块</t>
  </si>
  <si>
    <t>离线/上线判定正确</t>
  </si>
  <si>
    <t>CANopen heartbeat</t>
  </si>
  <si>
    <t>参数读写</t>
  </si>
  <si>
    <t>第5周 Day3</t>
  </si>
  <si>
    <t>请求/响应、参数ID、返回码、序号</t>
  </si>
  <si>
    <t>读取版本、设置LED周期、读取采样值</t>
  </si>
  <si>
    <t>参数读写Demo</t>
  </si>
  <si>
    <t>非法参数有错误码</t>
  </si>
  <si>
    <t>CAN command response protocol</t>
  </si>
  <si>
    <t>故障上报</t>
  </si>
  <si>
    <t>第5周 Day4</t>
  </si>
  <si>
    <t>fault_code、level、timestamp、清除条件</t>
  </si>
  <si>
    <t>按键模拟故障，CAN/串口上报</t>
  </si>
  <si>
    <t>故障表和故障模块</t>
  </si>
  <si>
    <t>至少3种故障码</t>
  </si>
  <si>
    <t>embedded fault code design</t>
  </si>
  <si>
    <t>分层架构</t>
  </si>
  <si>
    <t>第5周 Day5</t>
  </si>
  <si>
    <t>bsp_can/can_port/can_protocol/can_app</t>
  </si>
  <si>
    <t>重构，协议层不直接调用HAL</t>
  </si>
  <si>
    <t>分层CAN工程</t>
  </si>
  <si>
    <t>main.c不堆业务</t>
  </si>
  <si>
    <t>CANopenNode driver port layer</t>
  </si>
  <si>
    <t>RTOS接入</t>
  </si>
  <si>
    <t>第5周 Day6</t>
  </si>
  <si>
    <t>中断入队、解析任务、发送队列、队列满</t>
  </si>
  <si>
    <t>can_rx_queue + can_process_task</t>
  </si>
  <si>
    <t>RTOS+CAN Demo</t>
  </si>
  <si>
    <t>连续50帧不死机</t>
  </si>
  <si>
    <t>FreeRTOS CAN queue STM32</t>
  </si>
  <si>
    <t>项目展示</t>
  </si>
  <si>
    <t>第5周 Day7</t>
  </si>
  <si>
    <t>README、协议表、演示截图、简历描述</t>
  </si>
  <si>
    <t>录制心跳、参数、故障演示</t>
  </si>
  <si>
    <t>CAN项目成果包</t>
  </si>
  <si>
    <t>可作为简历项目亮点</t>
  </si>
  <si>
    <t>GitHub README embedded project</t>
  </si>
  <si>
    <t>工业嵌入式源码与资料入口：每天摸鱼1小时就看这些</t>
  </si>
  <si>
    <t>类别</t>
  </si>
  <si>
    <t>资源</t>
  </si>
  <si>
    <t>你要看什么</t>
  </si>
  <si>
    <t>先看路径/关键词</t>
  </si>
  <si>
    <t>对应计划</t>
  </si>
  <si>
    <t>URL</t>
  </si>
  <si>
    <t>STM32官方包</t>
  </si>
  <si>
    <t>STM32CubeF4</t>
  </si>
  <si>
    <t>看HAL/LL驱动、CMSIS、Projects/*/Examples，优先看GPIO/UART/TIM/CAN/FLASH示例。</t>
  </si>
  <si>
    <t>Projects/*/Examples；Drivers/STM32F4xx_HAL_Driver</t>
  </si>
  <si>
    <t>第1-6周</t>
  </si>
  <si>
    <t>https://github.com/STMicroelectronics/STM32CubeF4</t>
  </si>
  <si>
    <t>STM32官方页面</t>
  </si>
  <si>
    <t>STM32CubeF4产品页</t>
  </si>
  <si>
    <t>确认CubeMX、HAL、LL、中间件等官方资料来源。</t>
  </si>
  <si>
    <t>页面说明、下载、Release Note</t>
  </si>
  <si>
    <t>https://www.st.com/en/embedded-software/stm32cubef4.html</t>
  </si>
  <si>
    <t>RTOS源码</t>
  </si>
  <si>
    <t>FreeRTOS Kernel</t>
  </si>
  <si>
    <t>看tasks.c、queue.c、list.c、timers.c，理解任务/队列/软件定时器。</t>
  </si>
  <si>
    <t>tasks.c；queue.c；FreeRTOSConfig.h</t>
  </si>
  <si>
    <t>https://github.com/FreeRTOS/FreeRTOS-Kernel</t>
  </si>
  <si>
    <t>CAN协议栈</t>
  </si>
  <si>
    <t>CANopenNode</t>
  </si>
  <si>
    <t>先不硬啃全栈，重点理解CANopen的对象字典、PDO、SDO、Heartbeat和驱动适配层。</t>
  </si>
  <si>
    <t>301/；example/；CO_driver_target.h</t>
  </si>
  <si>
    <t>第4-5周</t>
  </si>
  <si>
    <t>https://github.com/CANopenNode/CANopenNode</t>
  </si>
  <si>
    <t>Modbus源码</t>
  </si>
  <si>
    <t>libmodbus</t>
  </si>
  <si>
    <t>学习Modbus RTU/TCP帧处理、寄存器映射、异常码和API风格。</t>
  </si>
  <si>
    <t>src/modbus-rtu.c；src/modbus-tcp.c；tests/</t>
  </si>
  <si>
    <t>https://github.com/stephane/libmodbus</t>
  </si>
  <si>
    <t>OPC UA视野</t>
  </si>
  <si>
    <t>open62541</t>
  </si>
  <si>
    <t>了解OPC UA在工业上位系统/设备互联中的定位，先看examples和README。</t>
  </si>
  <si>
    <t>examples/；include/；plugins/</t>
  </si>
  <si>
    <t>第8周拓展</t>
  </si>
  <si>
    <t>https://github.com/open62541/open62541</t>
  </si>
  <si>
    <t>网络协议栈</t>
  </si>
  <si>
    <t>lwIP</t>
  </si>
  <si>
    <t>了解嵌入式TCP/IP为什么要轻量，后续学以太网/Modbus TCP会用到。</t>
  </si>
  <si>
    <t>src/core；src/netif；doc/</t>
  </si>
  <si>
    <t>https://github.com/lwip-tcpip/lwip</t>
  </si>
  <si>
    <t>现代RTOS视野</t>
  </si>
  <si>
    <t>Zephyr Project</t>
  </si>
  <si>
    <t>看驱动/设备树/样例组织，建立现代嵌入式工程视野。</t>
  </si>
  <si>
    <t>samples/；drivers/can；boards/</t>
  </si>
  <si>
    <t>第11周拓展</t>
  </si>
  <si>
    <t>https://github.com/zephyrproject-rtos/zephyr</t>
  </si>
  <si>
    <t>GitHub官方文档</t>
  </si>
  <si>
    <t>Adding a file to a repository</t>
  </si>
  <si>
    <t>照着官方文档做第一次上传，理解网页上传和命令行提交。</t>
  </si>
  <si>
    <t>git add/commit/push；README</t>
  </si>
  <si>
    <t>第1周Day5</t>
  </si>
  <si>
    <t>https://docs.github.com/en/repositories/working-with-files/managing-files/adding-a-file-to-a-repository</t>
  </si>
  <si>
    <t>Git官方文档</t>
  </si>
  <si>
    <t>git add</t>
  </si>
  <si>
    <t>理解暂存区：git add只是把当前内容放入下一次commit。</t>
  </si>
  <si>
    <t>git status；git add；git commit</t>
  </si>
  <si>
    <t>第1周Day5以后</t>
  </si>
  <si>
    <t>https://git-scm.com/docs/git-add</t>
  </si>
  <si>
    <t>GitHub上传与每日提交清单</t>
  </si>
  <si>
    <t>目标</t>
  </si>
  <si>
    <t>操作/命令</t>
  </si>
  <si>
    <t>完成标准</t>
  </si>
  <si>
    <t>常见坑</t>
  </si>
  <si>
    <t>0</t>
  </si>
  <si>
    <t>安装并确认Git</t>
  </si>
  <si>
    <t>git --version</t>
  </si>
  <si>
    <t>能看到Git版本号</t>
  </si>
  <si>
    <t>Windows没有git命令就重新安装Git并勾选加入PATH</t>
  </si>
  <si>
    <t>1</t>
  </si>
  <si>
    <t>配置用户名邮箱</t>
  </si>
  <si>
    <t>git config --global user.name "你的名字"
git config --global user.email "你的邮箱"</t>
  </si>
  <si>
    <t>git config --global --list能看到配置</t>
  </si>
  <si>
    <t>邮箱建议和GitHub一致</t>
  </si>
  <si>
    <t>2</t>
  </si>
  <si>
    <t>创建远程仓库</t>
  </si>
  <si>
    <t>GitHub网页右上角 New repository，命名 stm32-industrial-learning</t>
  </si>
  <si>
    <t>得到一个空仓库URL</t>
  </si>
  <si>
    <t>已有本地工程时，远程仓库先不要自动生成一堆文件，减少冲突</t>
  </si>
  <si>
    <t>3</t>
  </si>
  <si>
    <t>初始化本地仓库</t>
  </si>
  <si>
    <t>cd 你的工程目录
git init
git status</t>
  </si>
  <si>
    <t>目录下出现.git；status能看到文件变化</t>
  </si>
  <si>
    <t>不要在Keil/CubeMX安装目录里init，要在自己的工程目录</t>
  </si>
  <si>
    <t>4</t>
  </si>
  <si>
    <t>添加.gitignore</t>
  </si>
  <si>
    <t>创建.gitignore，排除Objects、Listings、Debug、build等编译产物</t>
  </si>
  <si>
    <t>git status里主要是源码、README、docs</t>
  </si>
  <si>
    <t>不要把大量编译中间文件、临时文件传上去</t>
  </si>
  <si>
    <t>5</t>
  </si>
  <si>
    <t>第一次提交</t>
  </si>
  <si>
    <t>git add .
git commit -m "week01: init stm32 project"</t>
  </si>
  <si>
    <t>本地至少有1个commit</t>
  </si>
  <si>
    <t>git add .只加入当前状态，后续修改还要重新add</t>
  </si>
  <si>
    <t>6</t>
  </si>
  <si>
    <t>绑定远程仓库</t>
  </si>
  <si>
    <t>git branch -M main
git remote add origin https://github.com/你的用户名/仓库名.git</t>
  </si>
  <si>
    <t>git remote -v能看到origin</t>
  </si>
  <si>
    <t>URL写错可用git remote set-url origin 新URL</t>
  </si>
  <si>
    <t>7</t>
  </si>
  <si>
    <t>推送到GitHub</t>
  </si>
  <si>
    <t>git push -u origin main</t>
  </si>
  <si>
    <t>网页能看到代码和README</t>
  </si>
  <si>
    <t>认证失败时用GitHub登录、Token或SSH方式解决</t>
  </si>
  <si>
    <t>8</t>
  </si>
  <si>
    <t>每日提交节奏</t>
  </si>
  <si>
    <t>git status
git add .
git commit -m "day05: add can heartbeat"
git push</t>
  </si>
  <si>
    <t>每个重要功能一个commit</t>
  </si>
  <si>
    <t>commit message不要全写update/fix，尽量写清楚功能</t>
  </si>
  <si>
    <t>9</t>
  </si>
  <si>
    <t>README模板</t>
  </si>
  <si>
    <t>项目背景
硬件平台
功能列表
接线说明
编译下载
协议表
演示截图
问题记录</t>
  </si>
  <si>
    <t>别人3分钟能看懂项目价值</t>
  </si>
  <si>
    <t>README不要只写一句“学习STM32”</t>
  </si>
  <si>
    <t>10</t>
  </si>
  <si>
    <t>阶段版本</t>
  </si>
  <si>
    <t>git tag week05_can_protocol
git push origin week05_can_protocol</t>
  </si>
  <si>
    <t>每周有tag或阶段性里程碑</t>
  </si>
  <si>
    <t>tag命名要能看出内容，不要随便v1/v2</t>
  </si>
  <si>
    <t>岗位雷达：每天15分钟，防止学完才发现方向错了</t>
  </si>
  <si>
    <t>日期</t>
  </si>
  <si>
    <t>公司</t>
  </si>
  <si>
    <t>岗位名</t>
  </si>
  <si>
    <t>城市/薪资</t>
  </si>
  <si>
    <t>行业/产品</t>
  </si>
  <si>
    <t>技术关键词</t>
  </si>
  <si>
    <t>JD关键原文</t>
  </si>
  <si>
    <t>我当前差距</t>
  </si>
  <si>
    <t>下一步补强</t>
  </si>
  <si>
    <t>信息来源链接</t>
  </si>
  <si>
    <t>示例：某工控公司</t>
  </si>
  <si>
    <t>嵌入式软件工程师</t>
  </si>
  <si>
    <t>深圳/15-25K</t>
  </si>
  <si>
    <t>工业控制/IO模块</t>
  </si>
  <si>
    <t>STM32, FreeRTOS, CAN, Modbus</t>
  </si>
  <si>
    <t>熟悉CAN/RS485/Modbus，有工业项目经验</t>
  </si>
  <si>
    <t>缺少Modbus实战证据</t>
  </si>
  <si>
    <t>第8周补Modbus寄存器表和Demo</t>
  </si>
  <si>
    <t>收藏</t>
  </si>
  <si>
    <t>示例行，可删除</t>
  </si>
  <si>
    <t>示例：某新能源公司</t>
  </si>
  <si>
    <t>BMS嵌入式工程师</t>
  </si>
  <si>
    <t>上海/18-30K</t>
  </si>
  <si>
    <t>新能源/BMS</t>
  </si>
  <si>
    <t>CAN, UDS, Bootloader, 故障诊断</t>
  </si>
  <si>
    <t>熟悉CAN通信和Bootloader升级</t>
  </si>
  <si>
    <t>UDS不了解，Bootloader只有Mock</t>
  </si>
  <si>
    <t>第6周强化CAN IAP，面试前了解UDS概念</t>
  </si>
  <si>
    <t>目标公司打探清单：不要只看岗位名，要看产品和业务</t>
  </si>
  <si>
    <t>优先级</t>
  </si>
  <si>
    <t>产品/业务</t>
  </si>
  <si>
    <t>可能用到的技术</t>
  </si>
  <si>
    <t>招聘岗位链接</t>
  </si>
  <si>
    <t>最近招聘频率</t>
  </si>
  <si>
    <t>面试信息来源</t>
  </si>
  <si>
    <t>我匹配的证据</t>
  </si>
  <si>
    <t>我缺的证据</t>
  </si>
  <si>
    <t>下一步动作</t>
  </si>
  <si>
    <t>示例：工控/自动化公司</t>
  </si>
  <si>
    <t>匹配</t>
  </si>
  <si>
    <t>IO模块、PLC周边、伺服驱动</t>
  </si>
  <si>
    <t>STM32, CAN, Modbus, FreeRTOS, RS485</t>
  </si>
  <si>
    <t>待观察</t>
  </si>
  <si>
    <t>牛客/脉脉/官网/招聘JD</t>
  </si>
  <si>
    <t>工业IO节点项目</t>
  </si>
  <si>
    <t>真实现场调试经验不足</t>
  </si>
  <si>
    <t>准备项目演示和协议表</t>
  </si>
  <si>
    <t>示例：新能源/BMS公司</t>
  </si>
  <si>
    <t>冲刺</t>
  </si>
  <si>
    <t>电池管理系统、储能</t>
  </si>
  <si>
    <t>官网/招聘JD/面经</t>
  </si>
  <si>
    <t>CAN协议和故障上报项目</t>
  </si>
  <si>
    <t>UDS了解不深</t>
  </si>
  <si>
    <t>面试前补UDS基础概念</t>
  </si>
  <si>
    <t>每周复盘：监督自己，而不是只做计划</t>
  </si>
  <si>
    <t>本周完成率</t>
  </si>
  <si>
    <t>本周最大产出</t>
  </si>
  <si>
    <t>最卡的点</t>
  </si>
  <si>
    <t>解决动作</t>
  </si>
  <si>
    <t>GitHub链接/Tag</t>
  </si>
  <si>
    <t>岗位雷达新增数</t>
  </si>
  <si>
    <t>高频关键词Top5</t>
  </si>
  <si>
    <t>下周调整</t>
  </si>
  <si>
    <t>自评分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</si>
</sst>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F4E78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F4E78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9" fontId="0" fillId="0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eek01Tasks" displayName="Week01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02Tasks" displayName="Week02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03Tasks" displayName="Week03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04Tasks" displayName="Week04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eek05Tasks" displayName="Week05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eek06Tasks" displayName="Week06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eek07Tasks" displayName="Week07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Week08Tasks" displayName="Week08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Week09Tasks" displayName="Week09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Week10Tasks" displayName="Week10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Week11Tasks" displayName="Week11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Week12Tasks" displayName="Week12Tasks" ref="A3:J38">
  <tableColumns count="10">
    <tableColumn id="1" name="Day"/>
    <tableColumn id="2" name="今日目标"/>
    <tableColumn id="3" name="模块"/>
    <tableColumn id="4" name="具体动作"/>
    <tableColumn id="5" name="建议耗时"/>
    <tableColumn id="6" name="完成标准/验收方式"/>
    <tableColumn id="7" name="状态"/>
    <tableColumn id="8" name="实际耗时"/>
    <tableColumn id="9" name="证据链接/文件"/>
    <tableColumn id="10" name="复盘/问题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ailyOverviewTable" displayName="DailyOverviewTable" ref="A3:I87">
  <tableColumns count="9">
    <tableColumn id="1" name="周次"/>
    <tableColumn id="2" name="Day"/>
    <tableColumn id="3" name="阶段主题"/>
    <tableColumn id="4" name="今日目标"/>
    <tableColumn id="5" name="主学习"/>
    <tableColumn id="6" name="摸鱼自学1小时"/>
    <tableColumn id="7" name="代码实战/输出"/>
    <tableColumn id="8" name="岗位雷达"/>
    <tableColumn id="9" name="完成判定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anRouteTable" displayName="CanRouteTable" ref="A3:G16">
  <tableColumns count="7">
    <tableColumn id="1" name="阶段"/>
    <tableColumn id="2" name="对应天数"/>
    <tableColumn id="3" name="必学概念"/>
    <tableColumn id="4" name="动手实验"/>
    <tableColumn id="5" name="产出物"/>
    <tableColumn id="6" name="检查点"/>
    <tableColumn id="7" name="参考链接/关键词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esourceTable" displayName="ResourceTable" ref="A3:F13">
  <tableColumns count="6">
    <tableColumn id="1" name="类别"/>
    <tableColumn id="2" name="资源"/>
    <tableColumn id="3" name="你要看什么"/>
    <tableColumn id="4" name="先看路径/关键词"/>
    <tableColumn id="5" name="对应计划"/>
    <tableColumn id="6" name="UR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GitHubChecklistTable" displayName="GitHubChecklistTable" ref="A3:E14">
  <tableColumns count="5">
    <tableColumn id="1" name="步骤"/>
    <tableColumn id="2" name="目标"/>
    <tableColumn id="3" name="操作/命令"/>
    <tableColumn id="4" name="完成标准"/>
    <tableColumn id="5" name="常见坑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JobRadarTable" displayName="JobRadarTable" ref="A3:L85">
  <tableColumns count="12">
    <tableColumn id="1" name="日期"/>
    <tableColumn id="2" name="公司"/>
    <tableColumn id="3" name="岗位名"/>
    <tableColumn id="4" name="城市/薪资"/>
    <tableColumn id="5" name="行业/产品"/>
    <tableColumn id="6" name="技术关键词"/>
    <tableColumn id="7" name="JD关键原文"/>
    <tableColumn id="8" name="我当前差距"/>
    <tableColumn id="9" name="下一步补强"/>
    <tableColumn id="10" name="信息来源链接"/>
    <tableColumn id="11" name="状态"/>
    <tableColumn id="12" name="备注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ompanyResearchTable" displayName="CompanyResearchTable" ref="A3:K45">
  <tableColumns count="11">
    <tableColumn id="1" name="公司"/>
    <tableColumn id="2" name="优先级"/>
    <tableColumn id="3" name="产品/业务"/>
    <tableColumn id="4" name="可能用到的技术"/>
    <tableColumn id="5" name="招聘岗位链接"/>
    <tableColumn id="6" name="最近招聘频率"/>
    <tableColumn id="7" name="面试信息来源"/>
    <tableColumn id="8" name="我匹配的证据"/>
    <tableColumn id="9" name="我缺的证据"/>
    <tableColumn id="10" name="下一步动作"/>
    <tableColumn id="11" name="备注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WeeklyReviewTable" displayName="WeeklyReviewTable" ref="A3:J15">
  <tableColumns count="10">
    <tableColumn id="1" name="周次"/>
    <tableColumn id="2" name="本周完成率"/>
    <tableColumn id="3" name="本周最大产出"/>
    <tableColumn id="4" name="最卡的点"/>
    <tableColumn id="5" name="解决动作"/>
    <tableColumn id="6" name="GitHub链接/Tag"/>
    <tableColumn id="7" name="岗位雷达新增数"/>
    <tableColumn id="8" name="高频关键词Top5"/>
    <tableColumn id="9" name="下周调整"/>
    <tableColumn id="10" name="自评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H1"/>
    </sheetView>
  </sheetViews>
  <sheetFormatPr defaultColWidth="9" defaultRowHeight="14.25"/>
  <cols>
    <col min="1" max="1" width="18" customWidth="1"/>
    <col min="2" max="2" width="72" customWidth="1"/>
    <col min="3" max="3" width="45" customWidth="1"/>
  </cols>
  <sheetData>
    <row r="1" ht="30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1</v>
      </c>
      <c r="B3" s="3" t="s">
        <v>2</v>
      </c>
      <c r="C3" s="3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" customHeight="1" spans="1:26">
      <c r="A4" s="4" t="s">
        <v>4</v>
      </c>
      <c r="B4" s="4" t="s">
        <v>5</v>
      </c>
      <c r="C4" s="4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8" customHeight="1" spans="1:26">
      <c r="A5" s="4" t="s">
        <v>7</v>
      </c>
      <c r="B5" s="4" t="s">
        <v>8</v>
      </c>
      <c r="C5" s="4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8" customHeight="1" spans="1:26">
      <c r="A6" s="4" t="s">
        <v>10</v>
      </c>
      <c r="B6" s="4" t="s">
        <v>11</v>
      </c>
      <c r="C6" s="4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8" customHeight="1" spans="1:26">
      <c r="A7" s="4" t="s">
        <v>13</v>
      </c>
      <c r="B7" s="4" t="s">
        <v>14</v>
      </c>
      <c r="C7" s="4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8" customHeight="1" spans="1:26">
      <c r="A8" s="4" t="s">
        <v>16</v>
      </c>
      <c r="B8" s="4" t="s">
        <v>17</v>
      </c>
      <c r="C8" s="4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8" customHeight="1" spans="1:26">
      <c r="A9" s="4" t="s">
        <v>19</v>
      </c>
      <c r="B9" s="4" t="s">
        <v>20</v>
      </c>
      <c r="C9" s="4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opLeftCell="A11" workbookViewId="0">
      <selection activeCell="A10" sqref="$A10:$XFD10"/>
    </sheetView>
  </sheetViews>
  <sheetFormatPr defaultColWidth="9" defaultRowHeight="14.25"/>
  <cols>
    <col min="1" max="1" width="10" customWidth="1"/>
    <col min="2" max="2" width="32" customWidth="1"/>
    <col min="3" max="4" width="10" customWidth="1"/>
    <col min="5" max="5" width="12" customWidth="1"/>
    <col min="6" max="6" width="10" customWidth="1"/>
    <col min="7" max="7" width="42" customWidth="1"/>
    <col min="8" max="8" width="28" customWidth="1"/>
  </cols>
  <sheetData>
    <row r="1" ht="30" customHeight="1" spans="1:26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23</v>
      </c>
      <c r="B3" s="3" t="s">
        <v>24</v>
      </c>
      <c r="C3" s="3"/>
      <c r="D3" s="6" t="s">
        <v>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" customHeight="1" spans="1:26">
      <c r="A4" s="4" t="s">
        <v>26</v>
      </c>
      <c r="B4" s="4">
        <f>SUM(C10:C21)</f>
        <v>420</v>
      </c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" customHeight="1" spans="1:26">
      <c r="A5" s="4" t="s">
        <v>27</v>
      </c>
      <c r="B5" s="4">
        <f>SUM(D10:D21)</f>
        <v>0</v>
      </c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" customHeight="1" spans="1:26">
      <c r="A6" s="4" t="s">
        <v>28</v>
      </c>
      <c r="B6" s="5">
        <f>IF(B4=0,0,B5/B4)</f>
        <v>0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" customHeight="1" spans="1:26">
      <c r="A7" s="4" t="s">
        <v>29</v>
      </c>
      <c r="B7" s="4">
        <f>SUM(F10:F21)</f>
        <v>0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" customHeight="1" spans="1:26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4" customHeight="1" spans="1:26">
      <c r="A10" s="4" t="s">
        <v>38</v>
      </c>
      <c r="B10" s="4" t="s">
        <v>39</v>
      </c>
      <c r="C10" s="4">
        <f>COUNTA(第1周_环境GitHub!$G$4:$G$38)</f>
        <v>35</v>
      </c>
      <c r="D10" s="4">
        <f>COUNTIF(第1周_环境GitHub!$G$4:$G$38,"已完成")</f>
        <v>0</v>
      </c>
      <c r="E10" s="5">
        <f t="shared" ref="E10:E21" si="0">IF(C10=0,0,D10/C10)</f>
        <v>0</v>
      </c>
      <c r="F10" s="4">
        <f>COUNTIF(第1周_环境GitHub!$G$4:$G$38,"卡住")</f>
        <v>0</v>
      </c>
      <c r="G10" s="4" t="s">
        <v>40</v>
      </c>
      <c r="H10" s="4" t="s">
        <v>41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" customHeight="1" spans="1:26">
      <c r="A11" s="4" t="s">
        <v>42</v>
      </c>
      <c r="B11" s="4" t="s">
        <v>43</v>
      </c>
      <c r="C11" s="4">
        <f>COUNTA(第2周_外设基础!$G$4:$G$38)</f>
        <v>35</v>
      </c>
      <c r="D11" s="4">
        <f>COUNTIF(第2周_外设基础!$G$4:$G$38,"已完成")</f>
        <v>0</v>
      </c>
      <c r="E11" s="5">
        <f t="shared" si="0"/>
        <v>0</v>
      </c>
      <c r="F11" s="4">
        <f>COUNTIF(第2周_外设基础!$G$4:$G$38,"卡住")</f>
        <v>0</v>
      </c>
      <c r="G11" s="4" t="s">
        <v>44</v>
      </c>
      <c r="H11" s="4" t="s">
        <v>41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4" customHeight="1" spans="1:26">
      <c r="A12" s="4" t="s">
        <v>45</v>
      </c>
      <c r="B12" s="4" t="s">
        <v>46</v>
      </c>
      <c r="C12" s="4">
        <f>COUNTA(第3周_FreeRTOS!$G$4:$G$38)</f>
        <v>35</v>
      </c>
      <c r="D12" s="4">
        <f>COUNTIF(第3周_FreeRTOS!$G$4:$G$38,"已完成")</f>
        <v>0</v>
      </c>
      <c r="E12" s="5">
        <f t="shared" si="0"/>
        <v>0</v>
      </c>
      <c r="F12" s="4">
        <f>COUNTIF(第3周_FreeRTOS!$G$4:$G$38,"卡住")</f>
        <v>0</v>
      </c>
      <c r="G12" s="4" t="s">
        <v>47</v>
      </c>
      <c r="H12" s="4" t="s">
        <v>41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4" customHeight="1" spans="1:26">
      <c r="A13" s="4" t="s">
        <v>48</v>
      </c>
      <c r="B13" s="4" t="s">
        <v>49</v>
      </c>
      <c r="C13" s="4">
        <f>COUNTA(第4周_CAN基础!$G$4:$G$38)</f>
        <v>35</v>
      </c>
      <c r="D13" s="4">
        <f>COUNTIF(第4周_CAN基础!$G$4:$G$38,"已完成")</f>
        <v>0</v>
      </c>
      <c r="E13" s="5">
        <f t="shared" si="0"/>
        <v>0</v>
      </c>
      <c r="F13" s="4">
        <f>COUNTIF(第4周_CAN基础!$G$4:$G$38,"卡住")</f>
        <v>0</v>
      </c>
      <c r="G13" s="4" t="s">
        <v>50</v>
      </c>
      <c r="H13" s="4" t="s">
        <v>41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4" customHeight="1" spans="1:26">
      <c r="A14" s="4" t="s">
        <v>51</v>
      </c>
      <c r="B14" s="4" t="s">
        <v>52</v>
      </c>
      <c r="C14" s="4">
        <f>COUNTA(第5周_CAN协议!$G$4:$G$38)</f>
        <v>35</v>
      </c>
      <c r="D14" s="4">
        <f>COUNTIF(第5周_CAN协议!$G$4:$G$38,"已完成")</f>
        <v>0</v>
      </c>
      <c r="E14" s="5">
        <f t="shared" si="0"/>
        <v>0</v>
      </c>
      <c r="F14" s="4">
        <f>COUNTIF(第5周_CAN协议!$G$4:$G$38,"卡住")</f>
        <v>0</v>
      </c>
      <c r="G14" s="4" t="s">
        <v>53</v>
      </c>
      <c r="H14" s="4" t="s">
        <v>41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4" customHeight="1" spans="1:26">
      <c r="A15" s="4" t="s">
        <v>54</v>
      </c>
      <c r="B15" s="4" t="s">
        <v>55</v>
      </c>
      <c r="C15" s="4">
        <f>COUNTA(第6周_Bootloader!$G$4:$G$38)</f>
        <v>35</v>
      </c>
      <c r="D15" s="4">
        <f>COUNTIF(第6周_Bootloader!$G$4:$G$38,"已完成")</f>
        <v>0</v>
      </c>
      <c r="E15" s="5">
        <f t="shared" si="0"/>
        <v>0</v>
      </c>
      <c r="F15" s="4">
        <f>COUNTIF(第6周_Bootloader!$G$4:$G$38,"卡住")</f>
        <v>0</v>
      </c>
      <c r="G15" s="4" t="s">
        <v>56</v>
      </c>
      <c r="H15" s="4" t="s">
        <v>41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4" customHeight="1" spans="1:26">
      <c r="A16" s="4" t="s">
        <v>57</v>
      </c>
      <c r="B16" s="4" t="s">
        <v>58</v>
      </c>
      <c r="C16" s="4">
        <f>COUNTA(第7周_电机控制!$G$4:$G$38)</f>
        <v>35</v>
      </c>
      <c r="D16" s="4">
        <f>COUNTIF(第7周_电机控制!$G$4:$G$38,"已完成")</f>
        <v>0</v>
      </c>
      <c r="E16" s="5">
        <f t="shared" si="0"/>
        <v>0</v>
      </c>
      <c r="F16" s="4">
        <f>COUNTIF(第7周_电机控制!$G$4:$G$38,"卡住")</f>
        <v>0</v>
      </c>
      <c r="G16" s="4" t="s">
        <v>59</v>
      </c>
      <c r="H16" s="4" t="s">
        <v>41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4" customHeight="1" spans="1:26">
      <c r="A17" s="4" t="s">
        <v>60</v>
      </c>
      <c r="B17" s="4" t="s">
        <v>61</v>
      </c>
      <c r="C17" s="4">
        <f>COUNTA(第8周_工业协议!$G$4:$G$38)</f>
        <v>35</v>
      </c>
      <c r="D17" s="4">
        <f>COUNTIF(第8周_工业协议!$G$4:$G$38,"已完成")</f>
        <v>0</v>
      </c>
      <c r="E17" s="5">
        <f t="shared" si="0"/>
        <v>0</v>
      </c>
      <c r="F17" s="4">
        <f>COUNTIF(第8周_工业协议!$G$4:$G$38,"卡住")</f>
        <v>0</v>
      </c>
      <c r="G17" s="4" t="s">
        <v>62</v>
      </c>
      <c r="H17" s="4" t="s">
        <v>41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" customHeight="1" spans="1:26">
      <c r="A18" s="4" t="s">
        <v>63</v>
      </c>
      <c r="B18" s="4" t="s">
        <v>64</v>
      </c>
      <c r="C18" s="4">
        <f>COUNTA(第9周_综合项目!$G$4:$G$38)</f>
        <v>35</v>
      </c>
      <c r="D18" s="4">
        <f>COUNTIF(第9周_综合项目!$G$4:$G$38,"已完成")</f>
        <v>0</v>
      </c>
      <c r="E18" s="5">
        <f t="shared" si="0"/>
        <v>0</v>
      </c>
      <c r="F18" s="4">
        <f>COUNTIF(第9周_综合项目!$G$4:$G$38,"卡住")</f>
        <v>0</v>
      </c>
      <c r="G18" s="4" t="s">
        <v>65</v>
      </c>
      <c r="H18" s="4" t="s">
        <v>41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4" customHeight="1" spans="1:26">
      <c r="A19" s="4" t="s">
        <v>66</v>
      </c>
      <c r="B19" s="4" t="s">
        <v>67</v>
      </c>
      <c r="C19" s="4">
        <f>COUNTA(第10周_诊断可靠性!$G$4:$G$38)</f>
        <v>35</v>
      </c>
      <c r="D19" s="4">
        <f>COUNTIF(第10周_诊断可靠性!$G$4:$G$38,"已完成")</f>
        <v>0</v>
      </c>
      <c r="E19" s="5">
        <f t="shared" si="0"/>
        <v>0</v>
      </c>
      <c r="F19" s="4">
        <f>COUNTIF(第10周_诊断可靠性!$G$4:$G$38,"卡住")</f>
        <v>0</v>
      </c>
      <c r="G19" s="4" t="s">
        <v>68</v>
      </c>
      <c r="H19" s="4" t="s">
        <v>41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4" customHeight="1" spans="1:26">
      <c r="A20" s="4" t="s">
        <v>69</v>
      </c>
      <c r="B20" s="4" t="s">
        <v>70</v>
      </c>
      <c r="C20" s="4">
        <f>COUNTA(第11周_架构优化!$G$4:$G$38)</f>
        <v>35</v>
      </c>
      <c r="D20" s="4">
        <f>COUNTIF(第11周_架构优化!$G$4:$G$38,"已完成")</f>
        <v>0</v>
      </c>
      <c r="E20" s="5">
        <f t="shared" si="0"/>
        <v>0</v>
      </c>
      <c r="F20" s="4">
        <f>COUNTIF(第11周_架构优化!$G$4:$G$38,"卡住")</f>
        <v>0</v>
      </c>
      <c r="G20" s="4" t="s">
        <v>71</v>
      </c>
      <c r="H20" s="4" t="s">
        <v>41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4" customHeight="1" spans="1:26">
      <c r="A21" s="4" t="s">
        <v>72</v>
      </c>
      <c r="B21" s="4" t="s">
        <v>73</v>
      </c>
      <c r="C21" s="4">
        <f>COUNTA(第12周_求职面试!$G$4:$G$38)</f>
        <v>35</v>
      </c>
      <c r="D21" s="4">
        <f>COUNTIF(第12周_求职面试!$G$4:$G$38,"已完成")</f>
        <v>0</v>
      </c>
      <c r="E21" s="5">
        <f t="shared" si="0"/>
        <v>0</v>
      </c>
      <c r="F21" s="4">
        <f>COUNTIF(第12周_求职面试!$G$4:$G$38,"卡住")</f>
        <v>0</v>
      </c>
      <c r="G21" s="4" t="s">
        <v>74</v>
      </c>
      <c r="H21" s="4" t="s">
        <v>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D3:H7"/>
  </mergeCells>
  <conditionalFormatting sqref="E10:E2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{5b07df6d-160c-4c4b-aa55-b8c9f4da59d5}</x14:id>
        </ext>
      </extLst>
    </cfRule>
    <cfRule type="cellIs" dxfId="0" priority="2" operator="lessThan">
      <formula>0.6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07df6d-160c-4c4b-aa55-b8c9f4da59d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E10:E21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workbookViewId="0">
      <selection activeCell="A8" sqref="$A4:$XFD8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87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87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87</v>
      </c>
      <c r="C7" s="4" t="s">
        <v>101</v>
      </c>
      <c r="D7" s="4" t="s">
        <v>102</v>
      </c>
      <c r="E7" s="4" t="s">
        <v>103</v>
      </c>
      <c r="F7" s="4" t="s">
        <v>104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87</v>
      </c>
      <c r="C8" s="4" t="s">
        <v>105</v>
      </c>
      <c r="D8" s="4" t="s">
        <v>106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110</v>
      </c>
      <c r="C9" s="4" t="s">
        <v>88</v>
      </c>
      <c r="D9" s="4" t="s">
        <v>111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110</v>
      </c>
      <c r="C10" s="4" t="s">
        <v>93</v>
      </c>
      <c r="D10" s="4" t="s">
        <v>112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110</v>
      </c>
      <c r="C11" s="4" t="s">
        <v>97</v>
      </c>
      <c r="D11" s="4" t="s">
        <v>113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110</v>
      </c>
      <c r="C12" s="4" t="s">
        <v>101</v>
      </c>
      <c r="D12" s="4" t="s">
        <v>114</v>
      </c>
      <c r="E12" s="4" t="s">
        <v>103</v>
      </c>
      <c r="F12" s="4" t="s">
        <v>115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110</v>
      </c>
      <c r="C13" s="4" t="s">
        <v>105</v>
      </c>
      <c r="D13" s="4" t="s">
        <v>116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118</v>
      </c>
      <c r="C14" s="4" t="s">
        <v>88</v>
      </c>
      <c r="D14" s="4" t="s">
        <v>119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118</v>
      </c>
      <c r="C15" s="4" t="s">
        <v>93</v>
      </c>
      <c r="D15" s="4" t="s">
        <v>120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118</v>
      </c>
      <c r="C16" s="4" t="s">
        <v>97</v>
      </c>
      <c r="D16" s="4" t="s">
        <v>121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118</v>
      </c>
      <c r="C17" s="4" t="s">
        <v>101</v>
      </c>
      <c r="D17" s="4" t="s">
        <v>122</v>
      </c>
      <c r="E17" s="4" t="s">
        <v>103</v>
      </c>
      <c r="F17" s="4" t="s">
        <v>123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118</v>
      </c>
      <c r="C18" s="4" t="s">
        <v>105</v>
      </c>
      <c r="D18" s="4" t="s">
        <v>124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126</v>
      </c>
      <c r="C19" s="4" t="s">
        <v>88</v>
      </c>
      <c r="D19" s="4" t="s">
        <v>127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126</v>
      </c>
      <c r="C20" s="4" t="s">
        <v>93</v>
      </c>
      <c r="D20" s="4" t="s">
        <v>128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126</v>
      </c>
      <c r="C21" s="4" t="s">
        <v>97</v>
      </c>
      <c r="D21" s="4" t="s">
        <v>129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126</v>
      </c>
      <c r="C22" s="4" t="s">
        <v>101</v>
      </c>
      <c r="D22" s="4" t="s">
        <v>130</v>
      </c>
      <c r="E22" s="4" t="s">
        <v>103</v>
      </c>
      <c r="F22" s="4" t="s">
        <v>131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126</v>
      </c>
      <c r="C23" s="4" t="s">
        <v>105</v>
      </c>
      <c r="D23" s="4" t="s">
        <v>132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134</v>
      </c>
      <c r="C24" s="4" t="s">
        <v>88</v>
      </c>
      <c r="D24" s="4" t="s">
        <v>135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134</v>
      </c>
      <c r="C25" s="4" t="s">
        <v>93</v>
      </c>
      <c r="D25" s="4" t="s">
        <v>136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134</v>
      </c>
      <c r="C26" s="4" t="s">
        <v>97</v>
      </c>
      <c r="D26" s="4" t="s">
        <v>137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134</v>
      </c>
      <c r="C27" s="4" t="s">
        <v>101</v>
      </c>
      <c r="D27" s="4" t="s">
        <v>138</v>
      </c>
      <c r="E27" s="4" t="s">
        <v>103</v>
      </c>
      <c r="F27" s="4" t="s">
        <v>139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134</v>
      </c>
      <c r="C28" s="4" t="s">
        <v>105</v>
      </c>
      <c r="D28" s="4" t="s">
        <v>140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142</v>
      </c>
      <c r="C29" s="4" t="s">
        <v>88</v>
      </c>
      <c r="D29" s="4" t="s">
        <v>143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142</v>
      </c>
      <c r="C30" s="4" t="s">
        <v>93</v>
      </c>
      <c r="D30" s="4" t="s">
        <v>144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142</v>
      </c>
      <c r="C31" s="4" t="s">
        <v>97</v>
      </c>
      <c r="D31" s="4" t="s">
        <v>145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142</v>
      </c>
      <c r="C32" s="4" t="s">
        <v>101</v>
      </c>
      <c r="D32" s="4" t="s">
        <v>146</v>
      </c>
      <c r="E32" s="4" t="s">
        <v>103</v>
      </c>
      <c r="F32" s="4" t="s">
        <v>147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142</v>
      </c>
      <c r="C33" s="4" t="s">
        <v>105</v>
      </c>
      <c r="D33" s="4" t="s">
        <v>148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150</v>
      </c>
      <c r="C34" s="4" t="s">
        <v>88</v>
      </c>
      <c r="D34" s="4" t="s">
        <v>151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150</v>
      </c>
      <c r="C35" s="4" t="s">
        <v>93</v>
      </c>
      <c r="D35" s="4" t="s">
        <v>152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150</v>
      </c>
      <c r="C36" s="4" t="s">
        <v>97</v>
      </c>
      <c r="D36" s="4" t="s">
        <v>153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150</v>
      </c>
      <c r="C37" s="4" t="s">
        <v>101</v>
      </c>
      <c r="D37" s="4" t="s">
        <v>154</v>
      </c>
      <c r="E37" s="4" t="s">
        <v>103</v>
      </c>
      <c r="F37" s="4" t="s">
        <v>155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150</v>
      </c>
      <c r="C38" s="4" t="s">
        <v>105</v>
      </c>
      <c r="D38" s="4" t="s">
        <v>156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158</v>
      </c>
      <c r="C4" s="4" t="s">
        <v>88</v>
      </c>
      <c r="D4" s="4" t="s">
        <v>159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158</v>
      </c>
      <c r="C5" s="4" t="s">
        <v>93</v>
      </c>
      <c r="D5" s="4" t="s">
        <v>160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158</v>
      </c>
      <c r="C6" s="4" t="s">
        <v>97</v>
      </c>
      <c r="D6" s="4" t="s">
        <v>161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158</v>
      </c>
      <c r="C7" s="4" t="s">
        <v>101</v>
      </c>
      <c r="D7" s="4" t="s">
        <v>162</v>
      </c>
      <c r="E7" s="4" t="s">
        <v>103</v>
      </c>
      <c r="F7" s="4" t="s">
        <v>163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158</v>
      </c>
      <c r="C8" s="4" t="s">
        <v>105</v>
      </c>
      <c r="D8" s="4" t="s">
        <v>164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165</v>
      </c>
      <c r="C9" s="4" t="s">
        <v>88</v>
      </c>
      <c r="D9" s="4" t="s">
        <v>166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165</v>
      </c>
      <c r="C10" s="4" t="s">
        <v>93</v>
      </c>
      <c r="D10" s="4" t="s">
        <v>167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165</v>
      </c>
      <c r="C11" s="4" t="s">
        <v>97</v>
      </c>
      <c r="D11" s="4" t="s">
        <v>168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165</v>
      </c>
      <c r="C12" s="4" t="s">
        <v>101</v>
      </c>
      <c r="D12" s="4" t="s">
        <v>169</v>
      </c>
      <c r="E12" s="4" t="s">
        <v>103</v>
      </c>
      <c r="F12" s="4" t="s">
        <v>170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165</v>
      </c>
      <c r="C13" s="4" t="s">
        <v>105</v>
      </c>
      <c r="D13" s="4" t="s">
        <v>171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172</v>
      </c>
      <c r="C14" s="4" t="s">
        <v>88</v>
      </c>
      <c r="D14" s="4" t="s">
        <v>173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172</v>
      </c>
      <c r="C15" s="4" t="s">
        <v>93</v>
      </c>
      <c r="D15" s="4" t="s">
        <v>174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172</v>
      </c>
      <c r="C16" s="4" t="s">
        <v>97</v>
      </c>
      <c r="D16" s="4" t="s">
        <v>175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172</v>
      </c>
      <c r="C17" s="4" t="s">
        <v>101</v>
      </c>
      <c r="D17" s="4" t="s">
        <v>176</v>
      </c>
      <c r="E17" s="4" t="s">
        <v>103</v>
      </c>
      <c r="F17" s="4" t="s">
        <v>177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172</v>
      </c>
      <c r="C18" s="4" t="s">
        <v>105</v>
      </c>
      <c r="D18" s="4" t="s">
        <v>178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179</v>
      </c>
      <c r="C19" s="4" t="s">
        <v>88</v>
      </c>
      <c r="D19" s="4" t="s">
        <v>180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179</v>
      </c>
      <c r="C20" s="4" t="s">
        <v>93</v>
      </c>
      <c r="D20" s="4" t="s">
        <v>181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179</v>
      </c>
      <c r="C21" s="4" t="s">
        <v>97</v>
      </c>
      <c r="D21" s="4" t="s">
        <v>182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179</v>
      </c>
      <c r="C22" s="4" t="s">
        <v>101</v>
      </c>
      <c r="D22" s="4" t="s">
        <v>183</v>
      </c>
      <c r="E22" s="4" t="s">
        <v>103</v>
      </c>
      <c r="F22" s="4" t="s">
        <v>184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179</v>
      </c>
      <c r="C23" s="4" t="s">
        <v>105</v>
      </c>
      <c r="D23" s="4" t="s">
        <v>185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186</v>
      </c>
      <c r="C24" s="4" t="s">
        <v>88</v>
      </c>
      <c r="D24" s="4" t="s">
        <v>187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186</v>
      </c>
      <c r="C25" s="4" t="s">
        <v>93</v>
      </c>
      <c r="D25" s="4" t="s">
        <v>188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186</v>
      </c>
      <c r="C26" s="4" t="s">
        <v>97</v>
      </c>
      <c r="D26" s="4" t="s">
        <v>189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186</v>
      </c>
      <c r="C27" s="4" t="s">
        <v>101</v>
      </c>
      <c r="D27" s="4" t="s">
        <v>190</v>
      </c>
      <c r="E27" s="4" t="s">
        <v>103</v>
      </c>
      <c r="F27" s="4" t="s">
        <v>191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186</v>
      </c>
      <c r="C28" s="4" t="s">
        <v>105</v>
      </c>
      <c r="D28" s="4" t="s">
        <v>192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193</v>
      </c>
      <c r="C29" s="4" t="s">
        <v>88</v>
      </c>
      <c r="D29" s="4" t="s">
        <v>194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193</v>
      </c>
      <c r="C30" s="4" t="s">
        <v>93</v>
      </c>
      <c r="D30" s="4" t="s">
        <v>195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193</v>
      </c>
      <c r="C31" s="4" t="s">
        <v>97</v>
      </c>
      <c r="D31" s="4" t="s">
        <v>196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193</v>
      </c>
      <c r="C32" s="4" t="s">
        <v>101</v>
      </c>
      <c r="D32" s="4" t="s">
        <v>197</v>
      </c>
      <c r="E32" s="4" t="s">
        <v>103</v>
      </c>
      <c r="F32" s="4" t="s">
        <v>198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193</v>
      </c>
      <c r="C33" s="4" t="s">
        <v>105</v>
      </c>
      <c r="D33" s="4" t="s">
        <v>199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200</v>
      </c>
      <c r="C34" s="4" t="s">
        <v>88</v>
      </c>
      <c r="D34" s="4" t="s">
        <v>201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200</v>
      </c>
      <c r="C35" s="4" t="s">
        <v>93</v>
      </c>
      <c r="D35" s="4" t="s">
        <v>202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200</v>
      </c>
      <c r="C36" s="4" t="s">
        <v>97</v>
      </c>
      <c r="D36" s="4" t="s">
        <v>203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200</v>
      </c>
      <c r="C37" s="4" t="s">
        <v>101</v>
      </c>
      <c r="D37" s="4" t="s">
        <v>204</v>
      </c>
      <c r="E37" s="4" t="s">
        <v>103</v>
      </c>
      <c r="F37" s="4" t="s">
        <v>205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200</v>
      </c>
      <c r="C38" s="4" t="s">
        <v>105</v>
      </c>
      <c r="D38" s="4" t="s">
        <v>206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208</v>
      </c>
      <c r="C4" s="4" t="s">
        <v>88</v>
      </c>
      <c r="D4" s="4" t="s">
        <v>209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208</v>
      </c>
      <c r="C5" s="4" t="s">
        <v>93</v>
      </c>
      <c r="D5" s="4" t="s">
        <v>210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208</v>
      </c>
      <c r="C6" s="4" t="s">
        <v>97</v>
      </c>
      <c r="D6" s="4" t="s">
        <v>211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208</v>
      </c>
      <c r="C7" s="4" t="s">
        <v>101</v>
      </c>
      <c r="D7" s="4" t="s">
        <v>212</v>
      </c>
      <c r="E7" s="4" t="s">
        <v>103</v>
      </c>
      <c r="F7" s="4" t="s">
        <v>213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208</v>
      </c>
      <c r="C8" s="4" t="s">
        <v>105</v>
      </c>
      <c r="D8" s="4" t="s">
        <v>214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215</v>
      </c>
      <c r="C9" s="4" t="s">
        <v>88</v>
      </c>
      <c r="D9" s="4" t="s">
        <v>216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215</v>
      </c>
      <c r="C10" s="4" t="s">
        <v>93</v>
      </c>
      <c r="D10" s="4" t="s">
        <v>217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215</v>
      </c>
      <c r="C11" s="4" t="s">
        <v>97</v>
      </c>
      <c r="D11" s="4" t="s">
        <v>218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215</v>
      </c>
      <c r="C12" s="4" t="s">
        <v>101</v>
      </c>
      <c r="D12" s="4" t="s">
        <v>219</v>
      </c>
      <c r="E12" s="4" t="s">
        <v>103</v>
      </c>
      <c r="F12" s="4" t="s">
        <v>220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215</v>
      </c>
      <c r="C13" s="4" t="s">
        <v>105</v>
      </c>
      <c r="D13" s="4" t="s">
        <v>221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222</v>
      </c>
      <c r="C14" s="4" t="s">
        <v>88</v>
      </c>
      <c r="D14" s="4" t="s">
        <v>223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222</v>
      </c>
      <c r="C15" s="4" t="s">
        <v>93</v>
      </c>
      <c r="D15" s="4" t="s">
        <v>224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222</v>
      </c>
      <c r="C16" s="4" t="s">
        <v>97</v>
      </c>
      <c r="D16" s="4" t="s">
        <v>225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222</v>
      </c>
      <c r="C17" s="4" t="s">
        <v>101</v>
      </c>
      <c r="D17" s="4" t="s">
        <v>226</v>
      </c>
      <c r="E17" s="4" t="s">
        <v>103</v>
      </c>
      <c r="F17" s="4" t="s">
        <v>227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222</v>
      </c>
      <c r="C18" s="4" t="s">
        <v>105</v>
      </c>
      <c r="D18" s="4" t="s">
        <v>228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229</v>
      </c>
      <c r="C19" s="4" t="s">
        <v>88</v>
      </c>
      <c r="D19" s="4" t="s">
        <v>230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229</v>
      </c>
      <c r="C20" s="4" t="s">
        <v>93</v>
      </c>
      <c r="D20" s="4" t="s">
        <v>231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229</v>
      </c>
      <c r="C21" s="4" t="s">
        <v>97</v>
      </c>
      <c r="D21" s="4" t="s">
        <v>232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229</v>
      </c>
      <c r="C22" s="4" t="s">
        <v>101</v>
      </c>
      <c r="D22" s="4" t="s">
        <v>233</v>
      </c>
      <c r="E22" s="4" t="s">
        <v>103</v>
      </c>
      <c r="F22" s="4" t="s">
        <v>234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229</v>
      </c>
      <c r="C23" s="4" t="s">
        <v>105</v>
      </c>
      <c r="D23" s="4" t="s">
        <v>235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236</v>
      </c>
      <c r="C24" s="4" t="s">
        <v>88</v>
      </c>
      <c r="D24" s="4" t="s">
        <v>237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236</v>
      </c>
      <c r="C25" s="4" t="s">
        <v>93</v>
      </c>
      <c r="D25" s="4" t="s">
        <v>238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236</v>
      </c>
      <c r="C26" s="4" t="s">
        <v>97</v>
      </c>
      <c r="D26" s="4" t="s">
        <v>239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236</v>
      </c>
      <c r="C27" s="4" t="s">
        <v>101</v>
      </c>
      <c r="D27" s="4" t="s">
        <v>240</v>
      </c>
      <c r="E27" s="4" t="s">
        <v>103</v>
      </c>
      <c r="F27" s="4" t="s">
        <v>241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236</v>
      </c>
      <c r="C28" s="4" t="s">
        <v>105</v>
      </c>
      <c r="D28" s="4" t="s">
        <v>242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243</v>
      </c>
      <c r="C29" s="4" t="s">
        <v>88</v>
      </c>
      <c r="D29" s="4" t="s">
        <v>244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243</v>
      </c>
      <c r="C30" s="4" t="s">
        <v>93</v>
      </c>
      <c r="D30" s="4" t="s">
        <v>245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243</v>
      </c>
      <c r="C31" s="4" t="s">
        <v>97</v>
      </c>
      <c r="D31" s="4" t="s">
        <v>246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243</v>
      </c>
      <c r="C32" s="4" t="s">
        <v>101</v>
      </c>
      <c r="D32" s="4" t="s">
        <v>247</v>
      </c>
      <c r="E32" s="4" t="s">
        <v>103</v>
      </c>
      <c r="F32" s="4" t="s">
        <v>248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243</v>
      </c>
      <c r="C33" s="4" t="s">
        <v>105</v>
      </c>
      <c r="D33" s="4" t="s">
        <v>249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250</v>
      </c>
      <c r="C34" s="4" t="s">
        <v>88</v>
      </c>
      <c r="D34" s="4" t="s">
        <v>251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250</v>
      </c>
      <c r="C35" s="4" t="s">
        <v>93</v>
      </c>
      <c r="D35" s="4" t="s">
        <v>252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250</v>
      </c>
      <c r="C36" s="4" t="s">
        <v>97</v>
      </c>
      <c r="D36" s="4" t="s">
        <v>253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250</v>
      </c>
      <c r="C37" s="4" t="s">
        <v>101</v>
      </c>
      <c r="D37" s="4" t="s">
        <v>254</v>
      </c>
      <c r="E37" s="4" t="s">
        <v>103</v>
      </c>
      <c r="F37" s="4" t="s">
        <v>255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250</v>
      </c>
      <c r="C38" s="4" t="s">
        <v>105</v>
      </c>
      <c r="D38" s="4" t="s">
        <v>256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258</v>
      </c>
      <c r="C4" s="4" t="s">
        <v>88</v>
      </c>
      <c r="D4" s="4" t="s">
        <v>259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258</v>
      </c>
      <c r="C5" s="4" t="s">
        <v>93</v>
      </c>
      <c r="D5" s="4" t="s">
        <v>260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258</v>
      </c>
      <c r="C6" s="4" t="s">
        <v>97</v>
      </c>
      <c r="D6" s="4" t="s">
        <v>261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258</v>
      </c>
      <c r="C7" s="4" t="s">
        <v>101</v>
      </c>
      <c r="D7" s="4" t="s">
        <v>262</v>
      </c>
      <c r="E7" s="4" t="s">
        <v>103</v>
      </c>
      <c r="F7" s="4" t="s">
        <v>263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258</v>
      </c>
      <c r="C8" s="4" t="s">
        <v>105</v>
      </c>
      <c r="D8" s="4" t="s">
        <v>264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265</v>
      </c>
      <c r="C9" s="4" t="s">
        <v>88</v>
      </c>
      <c r="D9" s="4" t="s">
        <v>266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265</v>
      </c>
      <c r="C10" s="4" t="s">
        <v>93</v>
      </c>
      <c r="D10" s="4" t="s">
        <v>267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265</v>
      </c>
      <c r="C11" s="4" t="s">
        <v>97</v>
      </c>
      <c r="D11" s="4" t="s">
        <v>268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265</v>
      </c>
      <c r="C12" s="4" t="s">
        <v>101</v>
      </c>
      <c r="D12" s="4" t="s">
        <v>269</v>
      </c>
      <c r="E12" s="4" t="s">
        <v>103</v>
      </c>
      <c r="F12" s="4" t="s">
        <v>270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265</v>
      </c>
      <c r="C13" s="4" t="s">
        <v>105</v>
      </c>
      <c r="D13" s="4" t="s">
        <v>271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272</v>
      </c>
      <c r="C14" s="4" t="s">
        <v>88</v>
      </c>
      <c r="D14" s="4" t="s">
        <v>273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272</v>
      </c>
      <c r="C15" s="4" t="s">
        <v>93</v>
      </c>
      <c r="D15" s="4" t="s">
        <v>274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272</v>
      </c>
      <c r="C16" s="4" t="s">
        <v>97</v>
      </c>
      <c r="D16" s="4" t="s">
        <v>275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272</v>
      </c>
      <c r="C17" s="4" t="s">
        <v>101</v>
      </c>
      <c r="D17" s="4" t="s">
        <v>276</v>
      </c>
      <c r="E17" s="4" t="s">
        <v>103</v>
      </c>
      <c r="F17" s="4" t="s">
        <v>277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272</v>
      </c>
      <c r="C18" s="4" t="s">
        <v>105</v>
      </c>
      <c r="D18" s="4" t="s">
        <v>278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279</v>
      </c>
      <c r="C19" s="4" t="s">
        <v>88</v>
      </c>
      <c r="D19" s="4" t="s">
        <v>280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279</v>
      </c>
      <c r="C20" s="4" t="s">
        <v>93</v>
      </c>
      <c r="D20" s="4" t="s">
        <v>281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279</v>
      </c>
      <c r="C21" s="4" t="s">
        <v>97</v>
      </c>
      <c r="D21" s="4" t="s">
        <v>282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279</v>
      </c>
      <c r="C22" s="4" t="s">
        <v>101</v>
      </c>
      <c r="D22" s="4" t="s">
        <v>283</v>
      </c>
      <c r="E22" s="4" t="s">
        <v>103</v>
      </c>
      <c r="F22" s="4" t="s">
        <v>284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279</v>
      </c>
      <c r="C23" s="4" t="s">
        <v>105</v>
      </c>
      <c r="D23" s="4" t="s">
        <v>285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286</v>
      </c>
      <c r="C24" s="4" t="s">
        <v>88</v>
      </c>
      <c r="D24" s="4" t="s">
        <v>287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286</v>
      </c>
      <c r="C25" s="4" t="s">
        <v>93</v>
      </c>
      <c r="D25" s="4" t="s">
        <v>288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286</v>
      </c>
      <c r="C26" s="4" t="s">
        <v>97</v>
      </c>
      <c r="D26" s="4" t="s">
        <v>289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286</v>
      </c>
      <c r="C27" s="4" t="s">
        <v>101</v>
      </c>
      <c r="D27" s="4" t="s">
        <v>290</v>
      </c>
      <c r="E27" s="4" t="s">
        <v>103</v>
      </c>
      <c r="F27" s="4" t="s">
        <v>291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286</v>
      </c>
      <c r="C28" s="4" t="s">
        <v>105</v>
      </c>
      <c r="D28" s="4" t="s">
        <v>292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293</v>
      </c>
      <c r="C29" s="4" t="s">
        <v>88</v>
      </c>
      <c r="D29" s="4" t="s">
        <v>294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293</v>
      </c>
      <c r="C30" s="4" t="s">
        <v>93</v>
      </c>
      <c r="D30" s="4" t="s">
        <v>295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293</v>
      </c>
      <c r="C31" s="4" t="s">
        <v>97</v>
      </c>
      <c r="D31" s="4" t="s">
        <v>296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293</v>
      </c>
      <c r="C32" s="4" t="s">
        <v>101</v>
      </c>
      <c r="D32" s="4" t="s">
        <v>297</v>
      </c>
      <c r="E32" s="4" t="s">
        <v>103</v>
      </c>
      <c r="F32" s="4" t="s">
        <v>298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293</v>
      </c>
      <c r="C33" s="4" t="s">
        <v>105</v>
      </c>
      <c r="D33" s="4" t="s">
        <v>299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300</v>
      </c>
      <c r="C34" s="4" t="s">
        <v>88</v>
      </c>
      <c r="D34" s="4" t="s">
        <v>301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300</v>
      </c>
      <c r="C35" s="4" t="s">
        <v>93</v>
      </c>
      <c r="D35" s="4" t="s">
        <v>302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300</v>
      </c>
      <c r="C36" s="4" t="s">
        <v>97</v>
      </c>
      <c r="D36" s="4" t="s">
        <v>303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300</v>
      </c>
      <c r="C37" s="4" t="s">
        <v>101</v>
      </c>
      <c r="D37" s="4" t="s">
        <v>304</v>
      </c>
      <c r="E37" s="4" t="s">
        <v>103</v>
      </c>
      <c r="F37" s="4" t="s">
        <v>305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300</v>
      </c>
      <c r="C38" s="4" t="s">
        <v>105</v>
      </c>
      <c r="D38" s="4" t="s">
        <v>306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308</v>
      </c>
      <c r="C4" s="4" t="s">
        <v>88</v>
      </c>
      <c r="D4" s="4" t="s">
        <v>309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308</v>
      </c>
      <c r="C5" s="4" t="s">
        <v>93</v>
      </c>
      <c r="D5" s="4" t="s">
        <v>310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308</v>
      </c>
      <c r="C6" s="4" t="s">
        <v>97</v>
      </c>
      <c r="D6" s="4" t="s">
        <v>311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308</v>
      </c>
      <c r="C7" s="4" t="s">
        <v>101</v>
      </c>
      <c r="D7" s="4" t="s">
        <v>312</v>
      </c>
      <c r="E7" s="4" t="s">
        <v>103</v>
      </c>
      <c r="F7" s="4" t="s">
        <v>313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308</v>
      </c>
      <c r="C8" s="4" t="s">
        <v>105</v>
      </c>
      <c r="D8" s="4" t="s">
        <v>314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315</v>
      </c>
      <c r="C9" s="4" t="s">
        <v>88</v>
      </c>
      <c r="D9" s="4" t="s">
        <v>316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315</v>
      </c>
      <c r="C10" s="4" t="s">
        <v>93</v>
      </c>
      <c r="D10" s="4" t="s">
        <v>317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315</v>
      </c>
      <c r="C11" s="4" t="s">
        <v>97</v>
      </c>
      <c r="D11" s="4" t="s">
        <v>318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315</v>
      </c>
      <c r="C12" s="4" t="s">
        <v>101</v>
      </c>
      <c r="D12" s="4" t="s">
        <v>319</v>
      </c>
      <c r="E12" s="4" t="s">
        <v>103</v>
      </c>
      <c r="F12" s="4" t="s">
        <v>320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315</v>
      </c>
      <c r="C13" s="4" t="s">
        <v>105</v>
      </c>
      <c r="D13" s="4" t="s">
        <v>321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322</v>
      </c>
      <c r="C14" s="4" t="s">
        <v>88</v>
      </c>
      <c r="D14" s="4" t="s">
        <v>323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322</v>
      </c>
      <c r="C15" s="4" t="s">
        <v>93</v>
      </c>
      <c r="D15" s="4" t="s">
        <v>324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322</v>
      </c>
      <c r="C16" s="4" t="s">
        <v>97</v>
      </c>
      <c r="D16" s="4" t="s">
        <v>325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322</v>
      </c>
      <c r="C17" s="4" t="s">
        <v>101</v>
      </c>
      <c r="D17" s="4" t="s">
        <v>326</v>
      </c>
      <c r="E17" s="4" t="s">
        <v>103</v>
      </c>
      <c r="F17" s="4" t="s">
        <v>327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322</v>
      </c>
      <c r="C18" s="4" t="s">
        <v>105</v>
      </c>
      <c r="D18" s="4" t="s">
        <v>328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329</v>
      </c>
      <c r="C19" s="4" t="s">
        <v>88</v>
      </c>
      <c r="D19" s="4" t="s">
        <v>330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329</v>
      </c>
      <c r="C20" s="4" t="s">
        <v>93</v>
      </c>
      <c r="D20" s="4" t="s">
        <v>331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329</v>
      </c>
      <c r="C21" s="4" t="s">
        <v>97</v>
      </c>
      <c r="D21" s="4" t="s">
        <v>332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329</v>
      </c>
      <c r="C22" s="4" t="s">
        <v>101</v>
      </c>
      <c r="D22" s="4" t="s">
        <v>333</v>
      </c>
      <c r="E22" s="4" t="s">
        <v>103</v>
      </c>
      <c r="F22" s="4" t="s">
        <v>334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329</v>
      </c>
      <c r="C23" s="4" t="s">
        <v>105</v>
      </c>
      <c r="D23" s="4" t="s">
        <v>335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336</v>
      </c>
      <c r="C24" s="4" t="s">
        <v>88</v>
      </c>
      <c r="D24" s="4" t="s">
        <v>337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336</v>
      </c>
      <c r="C25" s="4" t="s">
        <v>93</v>
      </c>
      <c r="D25" s="4" t="s">
        <v>338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336</v>
      </c>
      <c r="C26" s="4" t="s">
        <v>97</v>
      </c>
      <c r="D26" s="4" t="s">
        <v>339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336</v>
      </c>
      <c r="C27" s="4" t="s">
        <v>101</v>
      </c>
      <c r="D27" s="4" t="s">
        <v>340</v>
      </c>
      <c r="E27" s="4" t="s">
        <v>103</v>
      </c>
      <c r="F27" s="4" t="s">
        <v>341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336</v>
      </c>
      <c r="C28" s="4" t="s">
        <v>105</v>
      </c>
      <c r="D28" s="4" t="s">
        <v>342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343</v>
      </c>
      <c r="C29" s="4" t="s">
        <v>88</v>
      </c>
      <c r="D29" s="4" t="s">
        <v>344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343</v>
      </c>
      <c r="C30" s="4" t="s">
        <v>93</v>
      </c>
      <c r="D30" s="4" t="s">
        <v>345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343</v>
      </c>
      <c r="C31" s="4" t="s">
        <v>97</v>
      </c>
      <c r="D31" s="4" t="s">
        <v>346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343</v>
      </c>
      <c r="C32" s="4" t="s">
        <v>101</v>
      </c>
      <c r="D32" s="4" t="s">
        <v>347</v>
      </c>
      <c r="E32" s="4" t="s">
        <v>103</v>
      </c>
      <c r="F32" s="4" t="s">
        <v>348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343</v>
      </c>
      <c r="C33" s="4" t="s">
        <v>105</v>
      </c>
      <c r="D33" s="4" t="s">
        <v>349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350</v>
      </c>
      <c r="C34" s="4" t="s">
        <v>88</v>
      </c>
      <c r="D34" s="4" t="s">
        <v>351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350</v>
      </c>
      <c r="C35" s="4" t="s">
        <v>93</v>
      </c>
      <c r="D35" s="4" t="s">
        <v>352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350</v>
      </c>
      <c r="C36" s="4" t="s">
        <v>97</v>
      </c>
      <c r="D36" s="4" t="s">
        <v>353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350</v>
      </c>
      <c r="C37" s="4" t="s">
        <v>101</v>
      </c>
      <c r="D37" s="4" t="s">
        <v>354</v>
      </c>
      <c r="E37" s="4" t="s">
        <v>103</v>
      </c>
      <c r="F37" s="4" t="s">
        <v>355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350</v>
      </c>
      <c r="C38" s="4" t="s">
        <v>105</v>
      </c>
      <c r="D38" s="4" t="s">
        <v>356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358</v>
      </c>
      <c r="C4" s="4" t="s">
        <v>88</v>
      </c>
      <c r="D4" s="4" t="s">
        <v>359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358</v>
      </c>
      <c r="C5" s="4" t="s">
        <v>93</v>
      </c>
      <c r="D5" s="4" t="s">
        <v>360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358</v>
      </c>
      <c r="C6" s="4" t="s">
        <v>97</v>
      </c>
      <c r="D6" s="4" t="s">
        <v>361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358</v>
      </c>
      <c r="C7" s="4" t="s">
        <v>101</v>
      </c>
      <c r="D7" s="4" t="s">
        <v>362</v>
      </c>
      <c r="E7" s="4" t="s">
        <v>103</v>
      </c>
      <c r="F7" s="4" t="s">
        <v>363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358</v>
      </c>
      <c r="C8" s="4" t="s">
        <v>105</v>
      </c>
      <c r="D8" s="4" t="s">
        <v>364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365</v>
      </c>
      <c r="C9" s="4" t="s">
        <v>88</v>
      </c>
      <c r="D9" s="4" t="s">
        <v>366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365</v>
      </c>
      <c r="C10" s="4" t="s">
        <v>93</v>
      </c>
      <c r="D10" s="4" t="s">
        <v>367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365</v>
      </c>
      <c r="C11" s="4" t="s">
        <v>97</v>
      </c>
      <c r="D11" s="4" t="s">
        <v>368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365</v>
      </c>
      <c r="C12" s="4" t="s">
        <v>101</v>
      </c>
      <c r="D12" s="4" t="s">
        <v>369</v>
      </c>
      <c r="E12" s="4" t="s">
        <v>103</v>
      </c>
      <c r="F12" s="4" t="s">
        <v>370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365</v>
      </c>
      <c r="C13" s="4" t="s">
        <v>105</v>
      </c>
      <c r="D13" s="4" t="s">
        <v>371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372</v>
      </c>
      <c r="C14" s="4" t="s">
        <v>88</v>
      </c>
      <c r="D14" s="4" t="s">
        <v>373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372</v>
      </c>
      <c r="C15" s="4" t="s">
        <v>93</v>
      </c>
      <c r="D15" s="4" t="s">
        <v>374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372</v>
      </c>
      <c r="C16" s="4" t="s">
        <v>97</v>
      </c>
      <c r="D16" s="4" t="s">
        <v>375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372</v>
      </c>
      <c r="C17" s="4" t="s">
        <v>101</v>
      </c>
      <c r="D17" s="4" t="s">
        <v>376</v>
      </c>
      <c r="E17" s="4" t="s">
        <v>103</v>
      </c>
      <c r="F17" s="4" t="s">
        <v>377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372</v>
      </c>
      <c r="C18" s="4" t="s">
        <v>105</v>
      </c>
      <c r="D18" s="4" t="s">
        <v>378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379</v>
      </c>
      <c r="C19" s="4" t="s">
        <v>88</v>
      </c>
      <c r="D19" s="4" t="s">
        <v>380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379</v>
      </c>
      <c r="C20" s="4" t="s">
        <v>93</v>
      </c>
      <c r="D20" s="4" t="s">
        <v>381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379</v>
      </c>
      <c r="C21" s="4" t="s">
        <v>97</v>
      </c>
      <c r="D21" s="4" t="s">
        <v>382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379</v>
      </c>
      <c r="C22" s="4" t="s">
        <v>101</v>
      </c>
      <c r="D22" s="4" t="s">
        <v>383</v>
      </c>
      <c r="E22" s="4" t="s">
        <v>103</v>
      </c>
      <c r="F22" s="4" t="s">
        <v>384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379</v>
      </c>
      <c r="C23" s="4" t="s">
        <v>105</v>
      </c>
      <c r="D23" s="4" t="s">
        <v>385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386</v>
      </c>
      <c r="C24" s="4" t="s">
        <v>88</v>
      </c>
      <c r="D24" s="4" t="s">
        <v>387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386</v>
      </c>
      <c r="C25" s="4" t="s">
        <v>93</v>
      </c>
      <c r="D25" s="4" t="s">
        <v>388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386</v>
      </c>
      <c r="C26" s="4" t="s">
        <v>97</v>
      </c>
      <c r="D26" s="4" t="s">
        <v>389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386</v>
      </c>
      <c r="C27" s="4" t="s">
        <v>101</v>
      </c>
      <c r="D27" s="4" t="s">
        <v>390</v>
      </c>
      <c r="E27" s="4" t="s">
        <v>103</v>
      </c>
      <c r="F27" s="4" t="s">
        <v>391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386</v>
      </c>
      <c r="C28" s="4" t="s">
        <v>105</v>
      </c>
      <c r="D28" s="4" t="s">
        <v>392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393</v>
      </c>
      <c r="C29" s="4" t="s">
        <v>88</v>
      </c>
      <c r="D29" s="4" t="s">
        <v>394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393</v>
      </c>
      <c r="C30" s="4" t="s">
        <v>93</v>
      </c>
      <c r="D30" s="4" t="s">
        <v>395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393</v>
      </c>
      <c r="C31" s="4" t="s">
        <v>97</v>
      </c>
      <c r="D31" s="4" t="s">
        <v>396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393</v>
      </c>
      <c r="C32" s="4" t="s">
        <v>101</v>
      </c>
      <c r="D32" s="4" t="s">
        <v>397</v>
      </c>
      <c r="E32" s="4" t="s">
        <v>103</v>
      </c>
      <c r="F32" s="4" t="s">
        <v>398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393</v>
      </c>
      <c r="C33" s="4" t="s">
        <v>105</v>
      </c>
      <c r="D33" s="4" t="s">
        <v>399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400</v>
      </c>
      <c r="C34" s="4" t="s">
        <v>88</v>
      </c>
      <c r="D34" s="4" t="s">
        <v>401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400</v>
      </c>
      <c r="C35" s="4" t="s">
        <v>93</v>
      </c>
      <c r="D35" s="4" t="s">
        <v>402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400</v>
      </c>
      <c r="C36" s="4" t="s">
        <v>97</v>
      </c>
      <c r="D36" s="4" t="s">
        <v>403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400</v>
      </c>
      <c r="C37" s="4" t="s">
        <v>101</v>
      </c>
      <c r="D37" s="4" t="s">
        <v>404</v>
      </c>
      <c r="E37" s="4" t="s">
        <v>103</v>
      </c>
      <c r="F37" s="4" t="s">
        <v>405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400</v>
      </c>
      <c r="C38" s="4" t="s">
        <v>105</v>
      </c>
      <c r="D38" s="4" t="s">
        <v>406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408</v>
      </c>
      <c r="C4" s="4" t="s">
        <v>88</v>
      </c>
      <c r="D4" s="4" t="s">
        <v>409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408</v>
      </c>
      <c r="C5" s="4" t="s">
        <v>93</v>
      </c>
      <c r="D5" s="4" t="s">
        <v>410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408</v>
      </c>
      <c r="C6" s="4" t="s">
        <v>97</v>
      </c>
      <c r="D6" s="4" t="s">
        <v>411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408</v>
      </c>
      <c r="C7" s="4" t="s">
        <v>101</v>
      </c>
      <c r="D7" s="4" t="s">
        <v>412</v>
      </c>
      <c r="E7" s="4" t="s">
        <v>103</v>
      </c>
      <c r="F7" s="4" t="s">
        <v>413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408</v>
      </c>
      <c r="C8" s="4" t="s">
        <v>105</v>
      </c>
      <c r="D8" s="4" t="s">
        <v>414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415</v>
      </c>
      <c r="C9" s="4" t="s">
        <v>88</v>
      </c>
      <c r="D9" s="4" t="s">
        <v>416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415</v>
      </c>
      <c r="C10" s="4" t="s">
        <v>93</v>
      </c>
      <c r="D10" s="4" t="s">
        <v>417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415</v>
      </c>
      <c r="C11" s="4" t="s">
        <v>97</v>
      </c>
      <c r="D11" s="4" t="s">
        <v>418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415</v>
      </c>
      <c r="C12" s="4" t="s">
        <v>101</v>
      </c>
      <c r="D12" s="4" t="s">
        <v>419</v>
      </c>
      <c r="E12" s="4" t="s">
        <v>103</v>
      </c>
      <c r="F12" s="4" t="s">
        <v>420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415</v>
      </c>
      <c r="C13" s="4" t="s">
        <v>105</v>
      </c>
      <c r="D13" s="4" t="s">
        <v>421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422</v>
      </c>
      <c r="C14" s="4" t="s">
        <v>88</v>
      </c>
      <c r="D14" s="4" t="s">
        <v>423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422</v>
      </c>
      <c r="C15" s="4" t="s">
        <v>93</v>
      </c>
      <c r="D15" s="4" t="s">
        <v>424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422</v>
      </c>
      <c r="C16" s="4" t="s">
        <v>97</v>
      </c>
      <c r="D16" s="4" t="s">
        <v>425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422</v>
      </c>
      <c r="C17" s="4" t="s">
        <v>101</v>
      </c>
      <c r="D17" s="4" t="s">
        <v>426</v>
      </c>
      <c r="E17" s="4" t="s">
        <v>103</v>
      </c>
      <c r="F17" s="4" t="s">
        <v>427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422</v>
      </c>
      <c r="C18" s="4" t="s">
        <v>105</v>
      </c>
      <c r="D18" s="4" t="s">
        <v>428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429</v>
      </c>
      <c r="C19" s="4" t="s">
        <v>88</v>
      </c>
      <c r="D19" s="4" t="s">
        <v>430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429</v>
      </c>
      <c r="C20" s="4" t="s">
        <v>93</v>
      </c>
      <c r="D20" s="4" t="s">
        <v>431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429</v>
      </c>
      <c r="C21" s="4" t="s">
        <v>97</v>
      </c>
      <c r="D21" s="4" t="s">
        <v>432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429</v>
      </c>
      <c r="C22" s="4" t="s">
        <v>101</v>
      </c>
      <c r="D22" s="4" t="s">
        <v>433</v>
      </c>
      <c r="E22" s="4" t="s">
        <v>103</v>
      </c>
      <c r="F22" s="4" t="s">
        <v>434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429</v>
      </c>
      <c r="C23" s="4" t="s">
        <v>105</v>
      </c>
      <c r="D23" s="4" t="s">
        <v>435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436</v>
      </c>
      <c r="C24" s="4" t="s">
        <v>88</v>
      </c>
      <c r="D24" s="4" t="s">
        <v>437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436</v>
      </c>
      <c r="C25" s="4" t="s">
        <v>93</v>
      </c>
      <c r="D25" s="4" t="s">
        <v>438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436</v>
      </c>
      <c r="C26" s="4" t="s">
        <v>97</v>
      </c>
      <c r="D26" s="4" t="s">
        <v>439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436</v>
      </c>
      <c r="C27" s="4" t="s">
        <v>101</v>
      </c>
      <c r="D27" s="4" t="s">
        <v>440</v>
      </c>
      <c r="E27" s="4" t="s">
        <v>103</v>
      </c>
      <c r="F27" s="4" t="s">
        <v>441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436</v>
      </c>
      <c r="C28" s="4" t="s">
        <v>105</v>
      </c>
      <c r="D28" s="4" t="s">
        <v>442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443</v>
      </c>
      <c r="C29" s="4" t="s">
        <v>88</v>
      </c>
      <c r="D29" s="4" t="s">
        <v>444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443</v>
      </c>
      <c r="C30" s="4" t="s">
        <v>93</v>
      </c>
      <c r="D30" s="4" t="s">
        <v>445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443</v>
      </c>
      <c r="C31" s="4" t="s">
        <v>97</v>
      </c>
      <c r="D31" s="4" t="s">
        <v>446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443</v>
      </c>
      <c r="C32" s="4" t="s">
        <v>101</v>
      </c>
      <c r="D32" s="4" t="s">
        <v>447</v>
      </c>
      <c r="E32" s="4" t="s">
        <v>103</v>
      </c>
      <c r="F32" s="4" t="s">
        <v>448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443</v>
      </c>
      <c r="C33" s="4" t="s">
        <v>105</v>
      </c>
      <c r="D33" s="4" t="s">
        <v>449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450</v>
      </c>
      <c r="C34" s="4" t="s">
        <v>88</v>
      </c>
      <c r="D34" s="4" t="s">
        <v>451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450</v>
      </c>
      <c r="C35" s="4" t="s">
        <v>93</v>
      </c>
      <c r="D35" s="4" t="s">
        <v>452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450</v>
      </c>
      <c r="C36" s="4" t="s">
        <v>97</v>
      </c>
      <c r="D36" s="4" t="s">
        <v>453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450</v>
      </c>
      <c r="C37" s="4" t="s">
        <v>101</v>
      </c>
      <c r="D37" s="4" t="s">
        <v>454</v>
      </c>
      <c r="E37" s="4" t="s">
        <v>103</v>
      </c>
      <c r="F37" s="4" t="s">
        <v>455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450</v>
      </c>
      <c r="C38" s="4" t="s">
        <v>105</v>
      </c>
      <c r="D38" s="4" t="s">
        <v>456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458</v>
      </c>
      <c r="C4" s="4" t="s">
        <v>88</v>
      </c>
      <c r="D4" s="4" t="s">
        <v>459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458</v>
      </c>
      <c r="C5" s="4" t="s">
        <v>93</v>
      </c>
      <c r="D5" s="4" t="s">
        <v>460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458</v>
      </c>
      <c r="C6" s="4" t="s">
        <v>97</v>
      </c>
      <c r="D6" s="4" t="s">
        <v>461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458</v>
      </c>
      <c r="C7" s="4" t="s">
        <v>101</v>
      </c>
      <c r="D7" s="4" t="s">
        <v>462</v>
      </c>
      <c r="E7" s="4" t="s">
        <v>103</v>
      </c>
      <c r="F7" s="4" t="s">
        <v>463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458</v>
      </c>
      <c r="C8" s="4" t="s">
        <v>105</v>
      </c>
      <c r="D8" s="4" t="s">
        <v>464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465</v>
      </c>
      <c r="C9" s="4" t="s">
        <v>88</v>
      </c>
      <c r="D9" s="4" t="s">
        <v>466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465</v>
      </c>
      <c r="C10" s="4" t="s">
        <v>93</v>
      </c>
      <c r="D10" s="4" t="s">
        <v>467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465</v>
      </c>
      <c r="C11" s="4" t="s">
        <v>97</v>
      </c>
      <c r="D11" s="4" t="s">
        <v>468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465</v>
      </c>
      <c r="C12" s="4" t="s">
        <v>101</v>
      </c>
      <c r="D12" s="4" t="s">
        <v>469</v>
      </c>
      <c r="E12" s="4" t="s">
        <v>103</v>
      </c>
      <c r="F12" s="4" t="s">
        <v>470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465</v>
      </c>
      <c r="C13" s="4" t="s">
        <v>105</v>
      </c>
      <c r="D13" s="4" t="s">
        <v>471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472</v>
      </c>
      <c r="C14" s="4" t="s">
        <v>88</v>
      </c>
      <c r="D14" s="4" t="s">
        <v>473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472</v>
      </c>
      <c r="C15" s="4" t="s">
        <v>93</v>
      </c>
      <c r="D15" s="4" t="s">
        <v>474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472</v>
      </c>
      <c r="C16" s="4" t="s">
        <v>97</v>
      </c>
      <c r="D16" s="4" t="s">
        <v>475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472</v>
      </c>
      <c r="C17" s="4" t="s">
        <v>101</v>
      </c>
      <c r="D17" s="4" t="s">
        <v>476</v>
      </c>
      <c r="E17" s="4" t="s">
        <v>103</v>
      </c>
      <c r="F17" s="4" t="s">
        <v>477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472</v>
      </c>
      <c r="C18" s="4" t="s">
        <v>105</v>
      </c>
      <c r="D18" s="4" t="s">
        <v>478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479</v>
      </c>
      <c r="C19" s="4" t="s">
        <v>88</v>
      </c>
      <c r="D19" s="4" t="s">
        <v>480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479</v>
      </c>
      <c r="C20" s="4" t="s">
        <v>93</v>
      </c>
      <c r="D20" s="4" t="s">
        <v>481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479</v>
      </c>
      <c r="C21" s="4" t="s">
        <v>97</v>
      </c>
      <c r="D21" s="4" t="s">
        <v>482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479</v>
      </c>
      <c r="C22" s="4" t="s">
        <v>101</v>
      </c>
      <c r="D22" s="4" t="s">
        <v>483</v>
      </c>
      <c r="E22" s="4" t="s">
        <v>103</v>
      </c>
      <c r="F22" s="4" t="s">
        <v>484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479</v>
      </c>
      <c r="C23" s="4" t="s">
        <v>105</v>
      </c>
      <c r="D23" s="4" t="s">
        <v>485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486</v>
      </c>
      <c r="C24" s="4" t="s">
        <v>88</v>
      </c>
      <c r="D24" s="4" t="s">
        <v>487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486</v>
      </c>
      <c r="C25" s="4" t="s">
        <v>93</v>
      </c>
      <c r="D25" s="4" t="s">
        <v>488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486</v>
      </c>
      <c r="C26" s="4" t="s">
        <v>97</v>
      </c>
      <c r="D26" s="4" t="s">
        <v>489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486</v>
      </c>
      <c r="C27" s="4" t="s">
        <v>101</v>
      </c>
      <c r="D27" s="4" t="s">
        <v>490</v>
      </c>
      <c r="E27" s="4" t="s">
        <v>103</v>
      </c>
      <c r="F27" s="4" t="s">
        <v>491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486</v>
      </c>
      <c r="C28" s="4" t="s">
        <v>105</v>
      </c>
      <c r="D28" s="4" t="s">
        <v>492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493</v>
      </c>
      <c r="C29" s="4" t="s">
        <v>88</v>
      </c>
      <c r="D29" s="4" t="s">
        <v>494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493</v>
      </c>
      <c r="C30" s="4" t="s">
        <v>93</v>
      </c>
      <c r="D30" s="4" t="s">
        <v>495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493</v>
      </c>
      <c r="C31" s="4" t="s">
        <v>97</v>
      </c>
      <c r="D31" s="4" t="s">
        <v>496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493</v>
      </c>
      <c r="C32" s="4" t="s">
        <v>101</v>
      </c>
      <c r="D32" s="4" t="s">
        <v>497</v>
      </c>
      <c r="E32" s="4" t="s">
        <v>103</v>
      </c>
      <c r="F32" s="4" t="s">
        <v>498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493</v>
      </c>
      <c r="C33" s="4" t="s">
        <v>105</v>
      </c>
      <c r="D33" s="4" t="s">
        <v>499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500</v>
      </c>
      <c r="C34" s="4" t="s">
        <v>88</v>
      </c>
      <c r="D34" s="4" t="s">
        <v>501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500</v>
      </c>
      <c r="C35" s="4" t="s">
        <v>93</v>
      </c>
      <c r="D35" s="4" t="s">
        <v>502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500</v>
      </c>
      <c r="C36" s="4" t="s">
        <v>97</v>
      </c>
      <c r="D36" s="4" t="s">
        <v>503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500</v>
      </c>
      <c r="C37" s="4" t="s">
        <v>101</v>
      </c>
      <c r="D37" s="4" t="s">
        <v>504</v>
      </c>
      <c r="E37" s="4" t="s">
        <v>103</v>
      </c>
      <c r="F37" s="4" t="s">
        <v>505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500</v>
      </c>
      <c r="C38" s="4" t="s">
        <v>105</v>
      </c>
      <c r="D38" s="4" t="s">
        <v>506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507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508</v>
      </c>
      <c r="C4" s="4" t="s">
        <v>88</v>
      </c>
      <c r="D4" s="4" t="s">
        <v>509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508</v>
      </c>
      <c r="C5" s="4" t="s">
        <v>93</v>
      </c>
      <c r="D5" s="4" t="s">
        <v>510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508</v>
      </c>
      <c r="C6" s="4" t="s">
        <v>97</v>
      </c>
      <c r="D6" s="4" t="s">
        <v>511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508</v>
      </c>
      <c r="C7" s="4" t="s">
        <v>101</v>
      </c>
      <c r="D7" s="4" t="s">
        <v>512</v>
      </c>
      <c r="E7" s="4" t="s">
        <v>103</v>
      </c>
      <c r="F7" s="4" t="s">
        <v>513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508</v>
      </c>
      <c r="C8" s="4" t="s">
        <v>105</v>
      </c>
      <c r="D8" s="4" t="s">
        <v>514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515</v>
      </c>
      <c r="C9" s="4" t="s">
        <v>88</v>
      </c>
      <c r="D9" s="4" t="s">
        <v>516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515</v>
      </c>
      <c r="C10" s="4" t="s">
        <v>93</v>
      </c>
      <c r="D10" s="4" t="s">
        <v>517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515</v>
      </c>
      <c r="C11" s="4" t="s">
        <v>97</v>
      </c>
      <c r="D11" s="4" t="s">
        <v>518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515</v>
      </c>
      <c r="C12" s="4" t="s">
        <v>101</v>
      </c>
      <c r="D12" s="4" t="s">
        <v>519</v>
      </c>
      <c r="E12" s="4" t="s">
        <v>103</v>
      </c>
      <c r="F12" s="4" t="s">
        <v>520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515</v>
      </c>
      <c r="C13" s="4" t="s">
        <v>105</v>
      </c>
      <c r="D13" s="4" t="s">
        <v>521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522</v>
      </c>
      <c r="C14" s="4" t="s">
        <v>88</v>
      </c>
      <c r="D14" s="4" t="s">
        <v>523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522</v>
      </c>
      <c r="C15" s="4" t="s">
        <v>93</v>
      </c>
      <c r="D15" s="4" t="s">
        <v>524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522</v>
      </c>
      <c r="C16" s="4" t="s">
        <v>97</v>
      </c>
      <c r="D16" s="4" t="s">
        <v>525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522</v>
      </c>
      <c r="C17" s="4" t="s">
        <v>101</v>
      </c>
      <c r="D17" s="4" t="s">
        <v>526</v>
      </c>
      <c r="E17" s="4" t="s">
        <v>103</v>
      </c>
      <c r="F17" s="4" t="s">
        <v>527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522</v>
      </c>
      <c r="C18" s="4" t="s">
        <v>105</v>
      </c>
      <c r="D18" s="4" t="s">
        <v>528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529</v>
      </c>
      <c r="C19" s="4" t="s">
        <v>88</v>
      </c>
      <c r="D19" s="4" t="s">
        <v>530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529</v>
      </c>
      <c r="C20" s="4" t="s">
        <v>93</v>
      </c>
      <c r="D20" s="4" t="s">
        <v>531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529</v>
      </c>
      <c r="C21" s="4" t="s">
        <v>97</v>
      </c>
      <c r="D21" s="4" t="s">
        <v>532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529</v>
      </c>
      <c r="C22" s="4" t="s">
        <v>101</v>
      </c>
      <c r="D22" s="4" t="s">
        <v>533</v>
      </c>
      <c r="E22" s="4" t="s">
        <v>103</v>
      </c>
      <c r="F22" s="4" t="s">
        <v>534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529</v>
      </c>
      <c r="C23" s="4" t="s">
        <v>105</v>
      </c>
      <c r="D23" s="4" t="s">
        <v>535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536</v>
      </c>
      <c r="C24" s="4" t="s">
        <v>88</v>
      </c>
      <c r="D24" s="4" t="s">
        <v>537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536</v>
      </c>
      <c r="C25" s="4" t="s">
        <v>93</v>
      </c>
      <c r="D25" s="4" t="s">
        <v>538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536</v>
      </c>
      <c r="C26" s="4" t="s">
        <v>97</v>
      </c>
      <c r="D26" s="4" t="s">
        <v>539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536</v>
      </c>
      <c r="C27" s="4" t="s">
        <v>101</v>
      </c>
      <c r="D27" s="4" t="s">
        <v>540</v>
      </c>
      <c r="E27" s="4" t="s">
        <v>103</v>
      </c>
      <c r="F27" s="4" t="s">
        <v>541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536</v>
      </c>
      <c r="C28" s="4" t="s">
        <v>105</v>
      </c>
      <c r="D28" s="4" t="s">
        <v>542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543</v>
      </c>
      <c r="C29" s="4" t="s">
        <v>88</v>
      </c>
      <c r="D29" s="4" t="s">
        <v>544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543</v>
      </c>
      <c r="C30" s="4" t="s">
        <v>93</v>
      </c>
      <c r="D30" s="4" t="s">
        <v>545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543</v>
      </c>
      <c r="C31" s="4" t="s">
        <v>97</v>
      </c>
      <c r="D31" s="4" t="s">
        <v>546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543</v>
      </c>
      <c r="C32" s="4" t="s">
        <v>101</v>
      </c>
      <c r="D32" s="4" t="s">
        <v>547</v>
      </c>
      <c r="E32" s="4" t="s">
        <v>103</v>
      </c>
      <c r="F32" s="4" t="s">
        <v>548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543</v>
      </c>
      <c r="C33" s="4" t="s">
        <v>105</v>
      </c>
      <c r="D33" s="4" t="s">
        <v>549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550</v>
      </c>
      <c r="C34" s="4" t="s">
        <v>88</v>
      </c>
      <c r="D34" s="4" t="s">
        <v>551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550</v>
      </c>
      <c r="C35" s="4" t="s">
        <v>93</v>
      </c>
      <c r="D35" s="4" t="s">
        <v>552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550</v>
      </c>
      <c r="C36" s="4" t="s">
        <v>97</v>
      </c>
      <c r="D36" s="4" t="s">
        <v>553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550</v>
      </c>
      <c r="C37" s="4" t="s">
        <v>101</v>
      </c>
      <c r="D37" s="4" t="s">
        <v>554</v>
      </c>
      <c r="E37" s="4" t="s">
        <v>103</v>
      </c>
      <c r="F37" s="4" t="s">
        <v>555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550</v>
      </c>
      <c r="C38" s="4" t="s">
        <v>105</v>
      </c>
      <c r="D38" s="4" t="s">
        <v>556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558</v>
      </c>
      <c r="C4" s="4" t="s">
        <v>88</v>
      </c>
      <c r="D4" s="4" t="s">
        <v>559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558</v>
      </c>
      <c r="C5" s="4" t="s">
        <v>93</v>
      </c>
      <c r="D5" s="4" t="s">
        <v>560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558</v>
      </c>
      <c r="C6" s="4" t="s">
        <v>97</v>
      </c>
      <c r="D6" s="4" t="s">
        <v>561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558</v>
      </c>
      <c r="C7" s="4" t="s">
        <v>101</v>
      </c>
      <c r="D7" s="4" t="s">
        <v>562</v>
      </c>
      <c r="E7" s="4" t="s">
        <v>103</v>
      </c>
      <c r="F7" s="4" t="s">
        <v>563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558</v>
      </c>
      <c r="C8" s="4" t="s">
        <v>105</v>
      </c>
      <c r="D8" s="4" t="s">
        <v>564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565</v>
      </c>
      <c r="C9" s="4" t="s">
        <v>88</v>
      </c>
      <c r="D9" s="4" t="s">
        <v>566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565</v>
      </c>
      <c r="C10" s="4" t="s">
        <v>93</v>
      </c>
      <c r="D10" s="4" t="s">
        <v>567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565</v>
      </c>
      <c r="C11" s="4" t="s">
        <v>97</v>
      </c>
      <c r="D11" s="4" t="s">
        <v>568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565</v>
      </c>
      <c r="C12" s="4" t="s">
        <v>101</v>
      </c>
      <c r="D12" s="4" t="s">
        <v>569</v>
      </c>
      <c r="E12" s="4" t="s">
        <v>103</v>
      </c>
      <c r="F12" s="4" t="s">
        <v>570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565</v>
      </c>
      <c r="C13" s="4" t="s">
        <v>105</v>
      </c>
      <c r="D13" s="4" t="s">
        <v>571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572</v>
      </c>
      <c r="C14" s="4" t="s">
        <v>88</v>
      </c>
      <c r="D14" s="4" t="s">
        <v>573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572</v>
      </c>
      <c r="C15" s="4" t="s">
        <v>93</v>
      </c>
      <c r="D15" s="4" t="s">
        <v>574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572</v>
      </c>
      <c r="C16" s="4" t="s">
        <v>97</v>
      </c>
      <c r="D16" s="4" t="s">
        <v>575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572</v>
      </c>
      <c r="C17" s="4" t="s">
        <v>101</v>
      </c>
      <c r="D17" s="4" t="s">
        <v>576</v>
      </c>
      <c r="E17" s="4" t="s">
        <v>103</v>
      </c>
      <c r="F17" s="4" t="s">
        <v>577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572</v>
      </c>
      <c r="C18" s="4" t="s">
        <v>105</v>
      </c>
      <c r="D18" s="4" t="s">
        <v>578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579</v>
      </c>
      <c r="C19" s="4" t="s">
        <v>88</v>
      </c>
      <c r="D19" s="4" t="s">
        <v>580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579</v>
      </c>
      <c r="C20" s="4" t="s">
        <v>93</v>
      </c>
      <c r="D20" s="4" t="s">
        <v>581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579</v>
      </c>
      <c r="C21" s="4" t="s">
        <v>97</v>
      </c>
      <c r="D21" s="4" t="s">
        <v>582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579</v>
      </c>
      <c r="C22" s="4" t="s">
        <v>101</v>
      </c>
      <c r="D22" s="4" t="s">
        <v>583</v>
      </c>
      <c r="E22" s="4" t="s">
        <v>103</v>
      </c>
      <c r="F22" s="4" t="s">
        <v>584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579</v>
      </c>
      <c r="C23" s="4" t="s">
        <v>105</v>
      </c>
      <c r="D23" s="4" t="s">
        <v>585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586</v>
      </c>
      <c r="C24" s="4" t="s">
        <v>88</v>
      </c>
      <c r="D24" s="4" t="s">
        <v>587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586</v>
      </c>
      <c r="C25" s="4" t="s">
        <v>93</v>
      </c>
      <c r="D25" s="4" t="s">
        <v>588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586</v>
      </c>
      <c r="C26" s="4" t="s">
        <v>97</v>
      </c>
      <c r="D26" s="4" t="s">
        <v>589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586</v>
      </c>
      <c r="C27" s="4" t="s">
        <v>101</v>
      </c>
      <c r="D27" s="4" t="s">
        <v>590</v>
      </c>
      <c r="E27" s="4" t="s">
        <v>103</v>
      </c>
      <c r="F27" s="4" t="s">
        <v>591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586</v>
      </c>
      <c r="C28" s="4" t="s">
        <v>105</v>
      </c>
      <c r="D28" s="4" t="s">
        <v>592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593</v>
      </c>
      <c r="C29" s="4" t="s">
        <v>88</v>
      </c>
      <c r="D29" s="4" t="s">
        <v>594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593</v>
      </c>
      <c r="C30" s="4" t="s">
        <v>93</v>
      </c>
      <c r="D30" s="4" t="s">
        <v>595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593</v>
      </c>
      <c r="C31" s="4" t="s">
        <v>97</v>
      </c>
      <c r="D31" s="4" t="s">
        <v>596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593</v>
      </c>
      <c r="C32" s="4" t="s">
        <v>101</v>
      </c>
      <c r="D32" s="4" t="s">
        <v>597</v>
      </c>
      <c r="E32" s="4" t="s">
        <v>103</v>
      </c>
      <c r="F32" s="4" t="s">
        <v>598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593</v>
      </c>
      <c r="C33" s="4" t="s">
        <v>105</v>
      </c>
      <c r="D33" s="4" t="s">
        <v>599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600</v>
      </c>
      <c r="C34" s="4" t="s">
        <v>88</v>
      </c>
      <c r="D34" s="4" t="s">
        <v>601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600</v>
      </c>
      <c r="C35" s="4" t="s">
        <v>93</v>
      </c>
      <c r="D35" s="4" t="s">
        <v>602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600</v>
      </c>
      <c r="C36" s="4" t="s">
        <v>97</v>
      </c>
      <c r="D36" s="4" t="s">
        <v>603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600</v>
      </c>
      <c r="C37" s="4" t="s">
        <v>101</v>
      </c>
      <c r="D37" s="4" t="s">
        <v>604</v>
      </c>
      <c r="E37" s="4" t="s">
        <v>103</v>
      </c>
      <c r="F37" s="4" t="s">
        <v>605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600</v>
      </c>
      <c r="C38" s="4" t="s">
        <v>105</v>
      </c>
      <c r="D38" s="4" t="s">
        <v>606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607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608</v>
      </c>
      <c r="C4" s="4" t="s">
        <v>88</v>
      </c>
      <c r="D4" s="4" t="s">
        <v>609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608</v>
      </c>
      <c r="C5" s="4" t="s">
        <v>93</v>
      </c>
      <c r="D5" s="4" t="s">
        <v>610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608</v>
      </c>
      <c r="C6" s="4" t="s">
        <v>97</v>
      </c>
      <c r="D6" s="4" t="s">
        <v>611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608</v>
      </c>
      <c r="C7" s="4" t="s">
        <v>101</v>
      </c>
      <c r="D7" s="4" t="s">
        <v>612</v>
      </c>
      <c r="E7" s="4" t="s">
        <v>103</v>
      </c>
      <c r="F7" s="4" t="s">
        <v>613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608</v>
      </c>
      <c r="C8" s="4" t="s">
        <v>105</v>
      </c>
      <c r="D8" s="4" t="s">
        <v>614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615</v>
      </c>
      <c r="C9" s="4" t="s">
        <v>88</v>
      </c>
      <c r="D9" s="4" t="s">
        <v>616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615</v>
      </c>
      <c r="C10" s="4" t="s">
        <v>93</v>
      </c>
      <c r="D10" s="4" t="s">
        <v>617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615</v>
      </c>
      <c r="C11" s="4" t="s">
        <v>97</v>
      </c>
      <c r="D11" s="4" t="s">
        <v>618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615</v>
      </c>
      <c r="C12" s="4" t="s">
        <v>101</v>
      </c>
      <c r="D12" s="4" t="s">
        <v>619</v>
      </c>
      <c r="E12" s="4" t="s">
        <v>103</v>
      </c>
      <c r="F12" s="4" t="s">
        <v>620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615</v>
      </c>
      <c r="C13" s="4" t="s">
        <v>105</v>
      </c>
      <c r="D13" s="4" t="s">
        <v>621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622</v>
      </c>
      <c r="C14" s="4" t="s">
        <v>88</v>
      </c>
      <c r="D14" s="4" t="s">
        <v>623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622</v>
      </c>
      <c r="C15" s="4" t="s">
        <v>93</v>
      </c>
      <c r="D15" s="4" t="s">
        <v>624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622</v>
      </c>
      <c r="C16" s="4" t="s">
        <v>97</v>
      </c>
      <c r="D16" s="4" t="s">
        <v>625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622</v>
      </c>
      <c r="C17" s="4" t="s">
        <v>101</v>
      </c>
      <c r="D17" s="4" t="s">
        <v>626</v>
      </c>
      <c r="E17" s="4" t="s">
        <v>103</v>
      </c>
      <c r="F17" s="4" t="s">
        <v>627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622</v>
      </c>
      <c r="C18" s="4" t="s">
        <v>105</v>
      </c>
      <c r="D18" s="4" t="s">
        <v>628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629</v>
      </c>
      <c r="C19" s="4" t="s">
        <v>88</v>
      </c>
      <c r="D19" s="4" t="s">
        <v>630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629</v>
      </c>
      <c r="C20" s="4" t="s">
        <v>93</v>
      </c>
      <c r="D20" s="4" t="s">
        <v>631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629</v>
      </c>
      <c r="C21" s="4" t="s">
        <v>97</v>
      </c>
      <c r="D21" s="4" t="s">
        <v>632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629</v>
      </c>
      <c r="C22" s="4" t="s">
        <v>101</v>
      </c>
      <c r="D22" s="4" t="s">
        <v>633</v>
      </c>
      <c r="E22" s="4" t="s">
        <v>103</v>
      </c>
      <c r="F22" s="4" t="s">
        <v>634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629</v>
      </c>
      <c r="C23" s="4" t="s">
        <v>105</v>
      </c>
      <c r="D23" s="4" t="s">
        <v>635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636</v>
      </c>
      <c r="C24" s="4" t="s">
        <v>88</v>
      </c>
      <c r="D24" s="4" t="s">
        <v>637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636</v>
      </c>
      <c r="C25" s="4" t="s">
        <v>93</v>
      </c>
      <c r="D25" s="4" t="s">
        <v>638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636</v>
      </c>
      <c r="C26" s="4" t="s">
        <v>97</v>
      </c>
      <c r="D26" s="4" t="s">
        <v>639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636</v>
      </c>
      <c r="C27" s="4" t="s">
        <v>101</v>
      </c>
      <c r="D27" s="4" t="s">
        <v>640</v>
      </c>
      <c r="E27" s="4" t="s">
        <v>103</v>
      </c>
      <c r="F27" s="4" t="s">
        <v>641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636</v>
      </c>
      <c r="C28" s="4" t="s">
        <v>105</v>
      </c>
      <c r="D28" s="4" t="s">
        <v>642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643</v>
      </c>
      <c r="C29" s="4" t="s">
        <v>88</v>
      </c>
      <c r="D29" s="4" t="s">
        <v>644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643</v>
      </c>
      <c r="C30" s="4" t="s">
        <v>93</v>
      </c>
      <c r="D30" s="4" t="s">
        <v>645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643</v>
      </c>
      <c r="C31" s="4" t="s">
        <v>97</v>
      </c>
      <c r="D31" s="4" t="s">
        <v>646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643</v>
      </c>
      <c r="C32" s="4" t="s">
        <v>101</v>
      </c>
      <c r="D32" s="4" t="s">
        <v>647</v>
      </c>
      <c r="E32" s="4" t="s">
        <v>103</v>
      </c>
      <c r="F32" s="4" t="s">
        <v>648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643</v>
      </c>
      <c r="C33" s="4" t="s">
        <v>105</v>
      </c>
      <c r="D33" s="4" t="s">
        <v>649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650</v>
      </c>
      <c r="C34" s="4" t="s">
        <v>88</v>
      </c>
      <c r="D34" s="4" t="s">
        <v>651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650</v>
      </c>
      <c r="C35" s="4" t="s">
        <v>93</v>
      </c>
      <c r="D35" s="4" t="s">
        <v>652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650</v>
      </c>
      <c r="C36" s="4" t="s">
        <v>97</v>
      </c>
      <c r="D36" s="4" t="s">
        <v>653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650</v>
      </c>
      <c r="C37" s="4" t="s">
        <v>101</v>
      </c>
      <c r="D37" s="4" t="s">
        <v>654</v>
      </c>
      <c r="E37" s="4" t="s">
        <v>103</v>
      </c>
      <c r="F37" s="4" t="s">
        <v>655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650</v>
      </c>
      <c r="C38" s="4" t="s">
        <v>105</v>
      </c>
      <c r="D38" s="4" t="s">
        <v>656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9" customWidth="1"/>
    <col min="2" max="2" width="26" customWidth="1"/>
    <col min="3" max="3" width="12" customWidth="1"/>
    <col min="4" max="4" width="52" customWidth="1"/>
    <col min="5" max="5" width="12" customWidth="1"/>
    <col min="6" max="6" width="38" customWidth="1"/>
    <col min="7" max="8" width="12" customWidth="1"/>
    <col min="9" max="9" width="26" customWidth="1"/>
    <col min="10" max="10" width="30" customWidth="1"/>
  </cols>
  <sheetData>
    <row r="1" ht="30" customHeight="1" spans="1:26">
      <c r="A1" s="1" t="s">
        <v>657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" customHeight="1" spans="1:26">
      <c r="A4" s="4" t="s">
        <v>86</v>
      </c>
      <c r="B4" s="4" t="s">
        <v>658</v>
      </c>
      <c r="C4" s="4" t="s">
        <v>88</v>
      </c>
      <c r="D4" s="4" t="s">
        <v>659</v>
      </c>
      <c r="E4" s="4" t="s">
        <v>90</v>
      </c>
      <c r="F4" s="4" t="s">
        <v>91</v>
      </c>
      <c r="G4" s="4" t="s">
        <v>92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" customHeight="1" spans="1:26">
      <c r="A5" s="4" t="s">
        <v>86</v>
      </c>
      <c r="B5" s="4" t="s">
        <v>658</v>
      </c>
      <c r="C5" s="4" t="s">
        <v>93</v>
      </c>
      <c r="D5" s="4" t="s">
        <v>660</v>
      </c>
      <c r="E5" s="4" t="s">
        <v>95</v>
      </c>
      <c r="F5" s="4" t="s">
        <v>96</v>
      </c>
      <c r="G5" s="4" t="s">
        <v>92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" customHeight="1" spans="1:26">
      <c r="A6" s="4" t="s">
        <v>86</v>
      </c>
      <c r="B6" s="4" t="s">
        <v>658</v>
      </c>
      <c r="C6" s="4" t="s">
        <v>97</v>
      </c>
      <c r="D6" s="4" t="s">
        <v>661</v>
      </c>
      <c r="E6" s="4" t="s">
        <v>99</v>
      </c>
      <c r="F6" s="4" t="s">
        <v>100</v>
      </c>
      <c r="G6" s="4" t="s">
        <v>92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" customHeight="1" spans="1:26">
      <c r="A7" s="4" t="s">
        <v>86</v>
      </c>
      <c r="B7" s="4" t="s">
        <v>658</v>
      </c>
      <c r="C7" s="4" t="s">
        <v>101</v>
      </c>
      <c r="D7" s="4" t="s">
        <v>662</v>
      </c>
      <c r="E7" s="4" t="s">
        <v>103</v>
      </c>
      <c r="F7" s="4" t="s">
        <v>663</v>
      </c>
      <c r="G7" s="4" t="s">
        <v>92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" customHeight="1" spans="1:26">
      <c r="A8" s="4" t="s">
        <v>86</v>
      </c>
      <c r="B8" s="4" t="s">
        <v>658</v>
      </c>
      <c r="C8" s="4" t="s">
        <v>105</v>
      </c>
      <c r="D8" s="4" t="s">
        <v>664</v>
      </c>
      <c r="E8" s="4" t="s">
        <v>107</v>
      </c>
      <c r="F8" s="4" t="s">
        <v>108</v>
      </c>
      <c r="G8" s="4" t="s">
        <v>92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" customHeight="1" spans="1:26">
      <c r="A9" s="4" t="s">
        <v>109</v>
      </c>
      <c r="B9" s="4" t="s">
        <v>665</v>
      </c>
      <c r="C9" s="4" t="s">
        <v>88</v>
      </c>
      <c r="D9" s="4" t="s">
        <v>666</v>
      </c>
      <c r="E9" s="4" t="s">
        <v>90</v>
      </c>
      <c r="F9" s="4" t="s">
        <v>91</v>
      </c>
      <c r="G9" s="4" t="s">
        <v>92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" customHeight="1" spans="1:26">
      <c r="A10" s="4" t="s">
        <v>109</v>
      </c>
      <c r="B10" s="4" t="s">
        <v>665</v>
      </c>
      <c r="C10" s="4" t="s">
        <v>93</v>
      </c>
      <c r="D10" s="4" t="s">
        <v>667</v>
      </c>
      <c r="E10" s="4" t="s">
        <v>95</v>
      </c>
      <c r="F10" s="4" t="s">
        <v>96</v>
      </c>
      <c r="G10" s="4" t="s">
        <v>92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" customHeight="1" spans="1:26">
      <c r="A11" s="4" t="s">
        <v>109</v>
      </c>
      <c r="B11" s="4" t="s">
        <v>665</v>
      </c>
      <c r="C11" s="4" t="s">
        <v>97</v>
      </c>
      <c r="D11" s="4" t="s">
        <v>668</v>
      </c>
      <c r="E11" s="4" t="s">
        <v>99</v>
      </c>
      <c r="F11" s="4" t="s">
        <v>100</v>
      </c>
      <c r="G11" s="4" t="s">
        <v>92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" customHeight="1" spans="1:26">
      <c r="A12" s="4" t="s">
        <v>109</v>
      </c>
      <c r="B12" s="4" t="s">
        <v>665</v>
      </c>
      <c r="C12" s="4" t="s">
        <v>101</v>
      </c>
      <c r="D12" s="4" t="s">
        <v>669</v>
      </c>
      <c r="E12" s="4" t="s">
        <v>103</v>
      </c>
      <c r="F12" s="4" t="s">
        <v>670</v>
      </c>
      <c r="G12" s="4" t="s">
        <v>92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" customHeight="1" spans="1:26">
      <c r="A13" s="4" t="s">
        <v>109</v>
      </c>
      <c r="B13" s="4" t="s">
        <v>665</v>
      </c>
      <c r="C13" s="4" t="s">
        <v>105</v>
      </c>
      <c r="D13" s="4" t="s">
        <v>671</v>
      </c>
      <c r="E13" s="4" t="s">
        <v>107</v>
      </c>
      <c r="F13" s="4" t="s">
        <v>108</v>
      </c>
      <c r="G13" s="4" t="s">
        <v>92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" customHeight="1" spans="1:26">
      <c r="A14" s="4" t="s">
        <v>117</v>
      </c>
      <c r="B14" s="4" t="s">
        <v>672</v>
      </c>
      <c r="C14" s="4" t="s">
        <v>88</v>
      </c>
      <c r="D14" s="4" t="s">
        <v>673</v>
      </c>
      <c r="E14" s="4" t="s">
        <v>90</v>
      </c>
      <c r="F14" s="4" t="s">
        <v>91</v>
      </c>
      <c r="G14" s="4" t="s">
        <v>92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" customHeight="1" spans="1:26">
      <c r="A15" s="4" t="s">
        <v>117</v>
      </c>
      <c r="B15" s="4" t="s">
        <v>672</v>
      </c>
      <c r="C15" s="4" t="s">
        <v>93</v>
      </c>
      <c r="D15" s="4" t="s">
        <v>674</v>
      </c>
      <c r="E15" s="4" t="s">
        <v>95</v>
      </c>
      <c r="F15" s="4" t="s">
        <v>96</v>
      </c>
      <c r="G15" s="4" t="s">
        <v>92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" customHeight="1" spans="1:26">
      <c r="A16" s="4" t="s">
        <v>117</v>
      </c>
      <c r="B16" s="4" t="s">
        <v>672</v>
      </c>
      <c r="C16" s="4" t="s">
        <v>97</v>
      </c>
      <c r="D16" s="4" t="s">
        <v>675</v>
      </c>
      <c r="E16" s="4" t="s">
        <v>99</v>
      </c>
      <c r="F16" s="4" t="s">
        <v>100</v>
      </c>
      <c r="G16" s="4" t="s">
        <v>92</v>
      </c>
      <c r="H16" s="4" t="s">
        <v>41</v>
      </c>
      <c r="I16" s="4" t="s">
        <v>41</v>
      </c>
      <c r="J16" s="4" t="s">
        <v>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" customHeight="1" spans="1:26">
      <c r="A17" s="4" t="s">
        <v>117</v>
      </c>
      <c r="B17" s="4" t="s">
        <v>672</v>
      </c>
      <c r="C17" s="4" t="s">
        <v>101</v>
      </c>
      <c r="D17" s="4" t="s">
        <v>676</v>
      </c>
      <c r="E17" s="4" t="s">
        <v>103</v>
      </c>
      <c r="F17" s="4" t="s">
        <v>677</v>
      </c>
      <c r="G17" s="4" t="s">
        <v>92</v>
      </c>
      <c r="H17" s="4" t="s">
        <v>41</v>
      </c>
      <c r="I17" s="4" t="s">
        <v>41</v>
      </c>
      <c r="J17" s="4" t="s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" customHeight="1" spans="1:26">
      <c r="A18" s="4" t="s">
        <v>117</v>
      </c>
      <c r="B18" s="4" t="s">
        <v>672</v>
      </c>
      <c r="C18" s="4" t="s">
        <v>105</v>
      </c>
      <c r="D18" s="4" t="s">
        <v>678</v>
      </c>
      <c r="E18" s="4" t="s">
        <v>107</v>
      </c>
      <c r="F18" s="4" t="s">
        <v>108</v>
      </c>
      <c r="G18" s="4" t="s">
        <v>92</v>
      </c>
      <c r="H18" s="4" t="s">
        <v>41</v>
      </c>
      <c r="I18" s="4" t="s">
        <v>41</v>
      </c>
      <c r="J18" s="4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" customHeight="1" spans="1:26">
      <c r="A19" s="4" t="s">
        <v>125</v>
      </c>
      <c r="B19" s="4" t="s">
        <v>679</v>
      </c>
      <c r="C19" s="4" t="s">
        <v>88</v>
      </c>
      <c r="D19" s="4" t="s">
        <v>680</v>
      </c>
      <c r="E19" s="4" t="s">
        <v>90</v>
      </c>
      <c r="F19" s="4" t="s">
        <v>91</v>
      </c>
      <c r="G19" s="4" t="s">
        <v>92</v>
      </c>
      <c r="H19" s="4" t="s">
        <v>41</v>
      </c>
      <c r="I19" s="4" t="s">
        <v>41</v>
      </c>
      <c r="J19" s="4" t="s">
        <v>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" customHeight="1" spans="1:26">
      <c r="A20" s="4" t="s">
        <v>125</v>
      </c>
      <c r="B20" s="4" t="s">
        <v>679</v>
      </c>
      <c r="C20" s="4" t="s">
        <v>93</v>
      </c>
      <c r="D20" s="4" t="s">
        <v>681</v>
      </c>
      <c r="E20" s="4" t="s">
        <v>95</v>
      </c>
      <c r="F20" s="4" t="s">
        <v>96</v>
      </c>
      <c r="G20" s="4" t="s">
        <v>92</v>
      </c>
      <c r="H20" s="4" t="s">
        <v>41</v>
      </c>
      <c r="I20" s="4" t="s">
        <v>41</v>
      </c>
      <c r="J20" s="4" t="s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" customHeight="1" spans="1:26">
      <c r="A21" s="4" t="s">
        <v>125</v>
      </c>
      <c r="B21" s="4" t="s">
        <v>679</v>
      </c>
      <c r="C21" s="4" t="s">
        <v>97</v>
      </c>
      <c r="D21" s="4" t="s">
        <v>682</v>
      </c>
      <c r="E21" s="4" t="s">
        <v>99</v>
      </c>
      <c r="F21" s="4" t="s">
        <v>100</v>
      </c>
      <c r="G21" s="4" t="s">
        <v>92</v>
      </c>
      <c r="H21" s="4" t="s">
        <v>41</v>
      </c>
      <c r="I21" s="4" t="s">
        <v>41</v>
      </c>
      <c r="J21" s="4" t="s">
        <v>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" customHeight="1" spans="1:26">
      <c r="A22" s="4" t="s">
        <v>125</v>
      </c>
      <c r="B22" s="4" t="s">
        <v>679</v>
      </c>
      <c r="C22" s="4" t="s">
        <v>101</v>
      </c>
      <c r="D22" s="4" t="s">
        <v>683</v>
      </c>
      <c r="E22" s="4" t="s">
        <v>103</v>
      </c>
      <c r="F22" s="4" t="s">
        <v>684</v>
      </c>
      <c r="G22" s="4" t="s">
        <v>92</v>
      </c>
      <c r="H22" s="4" t="s">
        <v>41</v>
      </c>
      <c r="I22" s="4" t="s">
        <v>41</v>
      </c>
      <c r="J22" s="4" t="s">
        <v>41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" customHeight="1" spans="1:26">
      <c r="A23" s="4" t="s">
        <v>125</v>
      </c>
      <c r="B23" s="4" t="s">
        <v>679</v>
      </c>
      <c r="C23" s="4" t="s">
        <v>105</v>
      </c>
      <c r="D23" s="4" t="s">
        <v>685</v>
      </c>
      <c r="E23" s="4" t="s">
        <v>107</v>
      </c>
      <c r="F23" s="4" t="s">
        <v>108</v>
      </c>
      <c r="G23" s="4" t="s">
        <v>92</v>
      </c>
      <c r="H23" s="4" t="s">
        <v>41</v>
      </c>
      <c r="I23" s="4" t="s">
        <v>41</v>
      </c>
      <c r="J23" s="4" t="s">
        <v>41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" customHeight="1" spans="1:26">
      <c r="A24" s="4" t="s">
        <v>133</v>
      </c>
      <c r="B24" s="4" t="s">
        <v>686</v>
      </c>
      <c r="C24" s="4" t="s">
        <v>88</v>
      </c>
      <c r="D24" s="4" t="s">
        <v>687</v>
      </c>
      <c r="E24" s="4" t="s">
        <v>90</v>
      </c>
      <c r="F24" s="4" t="s">
        <v>91</v>
      </c>
      <c r="G24" s="4" t="s">
        <v>92</v>
      </c>
      <c r="H24" s="4" t="s">
        <v>41</v>
      </c>
      <c r="I24" s="4" t="s">
        <v>41</v>
      </c>
      <c r="J24" s="4" t="s">
        <v>41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" customHeight="1" spans="1:26">
      <c r="A25" s="4" t="s">
        <v>133</v>
      </c>
      <c r="B25" s="4" t="s">
        <v>686</v>
      </c>
      <c r="C25" s="4" t="s">
        <v>93</v>
      </c>
      <c r="D25" s="4" t="s">
        <v>688</v>
      </c>
      <c r="E25" s="4" t="s">
        <v>95</v>
      </c>
      <c r="F25" s="4" t="s">
        <v>96</v>
      </c>
      <c r="G25" s="4" t="s">
        <v>92</v>
      </c>
      <c r="H25" s="4" t="s">
        <v>41</v>
      </c>
      <c r="I25" s="4" t="s">
        <v>41</v>
      </c>
      <c r="J25" s="4" t="s">
        <v>41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" customHeight="1" spans="1:26">
      <c r="A26" s="4" t="s">
        <v>133</v>
      </c>
      <c r="B26" s="4" t="s">
        <v>686</v>
      </c>
      <c r="C26" s="4" t="s">
        <v>97</v>
      </c>
      <c r="D26" s="4" t="s">
        <v>689</v>
      </c>
      <c r="E26" s="4" t="s">
        <v>99</v>
      </c>
      <c r="F26" s="4" t="s">
        <v>100</v>
      </c>
      <c r="G26" s="4" t="s">
        <v>92</v>
      </c>
      <c r="H26" s="4" t="s">
        <v>41</v>
      </c>
      <c r="I26" s="4" t="s">
        <v>41</v>
      </c>
      <c r="J26" s="4" t="s">
        <v>41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" customHeight="1" spans="1:26">
      <c r="A27" s="4" t="s">
        <v>133</v>
      </c>
      <c r="B27" s="4" t="s">
        <v>686</v>
      </c>
      <c r="C27" s="4" t="s">
        <v>101</v>
      </c>
      <c r="D27" s="4" t="s">
        <v>690</v>
      </c>
      <c r="E27" s="4" t="s">
        <v>103</v>
      </c>
      <c r="F27" s="4" t="s">
        <v>691</v>
      </c>
      <c r="G27" s="4" t="s">
        <v>92</v>
      </c>
      <c r="H27" s="4" t="s">
        <v>41</v>
      </c>
      <c r="I27" s="4" t="s">
        <v>41</v>
      </c>
      <c r="J27" s="4" t="s">
        <v>41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" customHeight="1" spans="1:26">
      <c r="A28" s="4" t="s">
        <v>133</v>
      </c>
      <c r="B28" s="4" t="s">
        <v>686</v>
      </c>
      <c r="C28" s="4" t="s">
        <v>105</v>
      </c>
      <c r="D28" s="4" t="s">
        <v>692</v>
      </c>
      <c r="E28" s="4" t="s">
        <v>107</v>
      </c>
      <c r="F28" s="4" t="s">
        <v>108</v>
      </c>
      <c r="G28" s="4" t="s">
        <v>92</v>
      </c>
      <c r="H28" s="4" t="s">
        <v>41</v>
      </c>
      <c r="I28" s="4" t="s">
        <v>41</v>
      </c>
      <c r="J28" s="4" t="s">
        <v>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" customHeight="1" spans="1:26">
      <c r="A29" s="4" t="s">
        <v>141</v>
      </c>
      <c r="B29" s="4" t="s">
        <v>693</v>
      </c>
      <c r="C29" s="4" t="s">
        <v>88</v>
      </c>
      <c r="D29" s="4" t="s">
        <v>694</v>
      </c>
      <c r="E29" s="4" t="s">
        <v>90</v>
      </c>
      <c r="F29" s="4" t="s">
        <v>91</v>
      </c>
      <c r="G29" s="4" t="s">
        <v>92</v>
      </c>
      <c r="H29" s="4" t="s">
        <v>41</v>
      </c>
      <c r="I29" s="4" t="s">
        <v>41</v>
      </c>
      <c r="J29" s="4" t="s">
        <v>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" customHeight="1" spans="1:26">
      <c r="A30" s="4" t="s">
        <v>141</v>
      </c>
      <c r="B30" s="4" t="s">
        <v>693</v>
      </c>
      <c r="C30" s="4" t="s">
        <v>93</v>
      </c>
      <c r="D30" s="4" t="s">
        <v>695</v>
      </c>
      <c r="E30" s="4" t="s">
        <v>95</v>
      </c>
      <c r="F30" s="4" t="s">
        <v>96</v>
      </c>
      <c r="G30" s="4" t="s">
        <v>92</v>
      </c>
      <c r="H30" s="4" t="s">
        <v>41</v>
      </c>
      <c r="I30" s="4" t="s">
        <v>41</v>
      </c>
      <c r="J30" s="4" t="s">
        <v>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" customHeight="1" spans="1:26">
      <c r="A31" s="4" t="s">
        <v>141</v>
      </c>
      <c r="B31" s="4" t="s">
        <v>693</v>
      </c>
      <c r="C31" s="4" t="s">
        <v>97</v>
      </c>
      <c r="D31" s="4" t="s">
        <v>696</v>
      </c>
      <c r="E31" s="4" t="s">
        <v>99</v>
      </c>
      <c r="F31" s="4" t="s">
        <v>100</v>
      </c>
      <c r="G31" s="4" t="s">
        <v>92</v>
      </c>
      <c r="H31" s="4" t="s">
        <v>41</v>
      </c>
      <c r="I31" s="4" t="s">
        <v>41</v>
      </c>
      <c r="J31" s="4" t="s">
        <v>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" customHeight="1" spans="1:26">
      <c r="A32" s="4" t="s">
        <v>141</v>
      </c>
      <c r="B32" s="4" t="s">
        <v>693</v>
      </c>
      <c r="C32" s="4" t="s">
        <v>101</v>
      </c>
      <c r="D32" s="4" t="s">
        <v>697</v>
      </c>
      <c r="E32" s="4" t="s">
        <v>103</v>
      </c>
      <c r="F32" s="4" t="s">
        <v>698</v>
      </c>
      <c r="G32" s="4" t="s">
        <v>92</v>
      </c>
      <c r="H32" s="4" t="s">
        <v>41</v>
      </c>
      <c r="I32" s="4" t="s">
        <v>41</v>
      </c>
      <c r="J32" s="4" t="s">
        <v>41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" customHeight="1" spans="1:26">
      <c r="A33" s="4" t="s">
        <v>141</v>
      </c>
      <c r="B33" s="4" t="s">
        <v>693</v>
      </c>
      <c r="C33" s="4" t="s">
        <v>105</v>
      </c>
      <c r="D33" s="4" t="s">
        <v>699</v>
      </c>
      <c r="E33" s="4" t="s">
        <v>107</v>
      </c>
      <c r="F33" s="4" t="s">
        <v>108</v>
      </c>
      <c r="G33" s="4" t="s">
        <v>92</v>
      </c>
      <c r="H33" s="4" t="s">
        <v>41</v>
      </c>
      <c r="I33" s="4" t="s">
        <v>41</v>
      </c>
      <c r="J33" s="4" t="s">
        <v>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" customHeight="1" spans="1:26">
      <c r="A34" s="4" t="s">
        <v>149</v>
      </c>
      <c r="B34" s="4" t="s">
        <v>700</v>
      </c>
      <c r="C34" s="4" t="s">
        <v>88</v>
      </c>
      <c r="D34" s="4" t="s">
        <v>701</v>
      </c>
      <c r="E34" s="4" t="s">
        <v>90</v>
      </c>
      <c r="F34" s="4" t="s">
        <v>91</v>
      </c>
      <c r="G34" s="4" t="s">
        <v>92</v>
      </c>
      <c r="H34" s="4" t="s">
        <v>41</v>
      </c>
      <c r="I34" s="4" t="s">
        <v>41</v>
      </c>
      <c r="J34" s="4" t="s">
        <v>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" customHeight="1" spans="1:26">
      <c r="A35" s="4" t="s">
        <v>149</v>
      </c>
      <c r="B35" s="4" t="s">
        <v>700</v>
      </c>
      <c r="C35" s="4" t="s">
        <v>93</v>
      </c>
      <c r="D35" s="4" t="s">
        <v>702</v>
      </c>
      <c r="E35" s="4" t="s">
        <v>95</v>
      </c>
      <c r="F35" s="4" t="s">
        <v>96</v>
      </c>
      <c r="G35" s="4" t="s">
        <v>92</v>
      </c>
      <c r="H35" s="4" t="s">
        <v>41</v>
      </c>
      <c r="I35" s="4" t="s">
        <v>41</v>
      </c>
      <c r="J35" s="4" t="s">
        <v>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" customHeight="1" spans="1:26">
      <c r="A36" s="4" t="s">
        <v>149</v>
      </c>
      <c r="B36" s="4" t="s">
        <v>700</v>
      </c>
      <c r="C36" s="4" t="s">
        <v>97</v>
      </c>
      <c r="D36" s="4" t="s">
        <v>703</v>
      </c>
      <c r="E36" s="4" t="s">
        <v>99</v>
      </c>
      <c r="F36" s="4" t="s">
        <v>100</v>
      </c>
      <c r="G36" s="4" t="s">
        <v>92</v>
      </c>
      <c r="H36" s="4" t="s">
        <v>41</v>
      </c>
      <c r="I36" s="4" t="s">
        <v>41</v>
      </c>
      <c r="J36" s="4" t="s">
        <v>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" customHeight="1" spans="1:26">
      <c r="A37" s="4" t="s">
        <v>149</v>
      </c>
      <c r="B37" s="4" t="s">
        <v>700</v>
      </c>
      <c r="C37" s="4" t="s">
        <v>101</v>
      </c>
      <c r="D37" s="4" t="s">
        <v>704</v>
      </c>
      <c r="E37" s="4" t="s">
        <v>103</v>
      </c>
      <c r="F37" s="4" t="s">
        <v>705</v>
      </c>
      <c r="G37" s="4" t="s">
        <v>92</v>
      </c>
      <c r="H37" s="4" t="s">
        <v>41</v>
      </c>
      <c r="I37" s="4" t="s">
        <v>41</v>
      </c>
      <c r="J37" s="4" t="s">
        <v>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" customHeight="1" spans="1:26">
      <c r="A38" s="4" t="s">
        <v>149</v>
      </c>
      <c r="B38" s="4" t="s">
        <v>700</v>
      </c>
      <c r="C38" s="4" t="s">
        <v>105</v>
      </c>
      <c r="D38" s="4" t="s">
        <v>706</v>
      </c>
      <c r="E38" s="4" t="s">
        <v>107</v>
      </c>
      <c r="F38" s="4" t="s">
        <v>108</v>
      </c>
      <c r="G38" s="4" t="s">
        <v>92</v>
      </c>
      <c r="H38" s="4" t="s">
        <v>41</v>
      </c>
      <c r="I38" s="4" t="s">
        <v>41</v>
      </c>
      <c r="J38" s="4" t="s">
        <v>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conditionalFormatting sqref="G4:G38">
    <cfRule type="expression" dxfId="1" priority="1">
      <formula>G4="已完成"</formula>
    </cfRule>
    <cfRule type="expression" dxfId="2" priority="2">
      <formula>G4="卡住"</formula>
    </cfRule>
    <cfRule type="expression" dxfId="3" priority="3">
      <formula>G4="进行中"</formula>
    </cfRule>
  </conditionalFormatting>
  <dataValidations count="1">
    <dataValidation type="list" sqref="G4:G38">
      <formula1>"未开始,进行中,已完成,卡住,跳过"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I1"/>
    </sheetView>
  </sheetViews>
  <sheetFormatPr defaultColWidth="9" defaultRowHeight="14.25"/>
  <cols>
    <col min="1" max="1" width="10" customWidth="1"/>
    <col min="2" max="2" width="8" customWidth="1"/>
    <col min="3" max="3" width="28" customWidth="1"/>
    <col min="4" max="4" width="30" customWidth="1"/>
    <col min="5" max="5" width="50" customWidth="1"/>
    <col min="6" max="6" width="48" customWidth="1"/>
    <col min="7" max="7" width="32" customWidth="1"/>
    <col min="8" max="8" width="48" customWidth="1"/>
    <col min="9" max="9" width="46" customWidth="1"/>
  </cols>
  <sheetData>
    <row r="1" ht="30" customHeight="1" spans="1:26">
      <c r="A1" s="1" t="s">
        <v>707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30</v>
      </c>
      <c r="B3" s="3" t="s">
        <v>76</v>
      </c>
      <c r="C3" s="3" t="s">
        <v>708</v>
      </c>
      <c r="D3" s="3" t="s">
        <v>77</v>
      </c>
      <c r="E3" s="3" t="s">
        <v>93</v>
      </c>
      <c r="F3" s="3" t="s">
        <v>709</v>
      </c>
      <c r="G3" s="3" t="s">
        <v>710</v>
      </c>
      <c r="H3" s="3" t="s">
        <v>105</v>
      </c>
      <c r="I3" s="3" t="s">
        <v>711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" customHeight="1" spans="1:26">
      <c r="A4" s="4" t="s">
        <v>38</v>
      </c>
      <c r="B4" s="4" t="s">
        <v>86</v>
      </c>
      <c r="C4" s="4" t="s">
        <v>39</v>
      </c>
      <c r="D4" s="4" t="s">
        <v>87</v>
      </c>
      <c r="E4" s="4" t="s">
        <v>94</v>
      </c>
      <c r="F4" s="4" t="s">
        <v>98</v>
      </c>
      <c r="G4" s="4" t="s">
        <v>712</v>
      </c>
      <c r="H4" s="4" t="s">
        <v>106</v>
      </c>
      <c r="I4" s="4" t="s">
        <v>104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" customHeight="1" spans="1:26">
      <c r="A5" s="4" t="s">
        <v>38</v>
      </c>
      <c r="B5" s="4" t="s">
        <v>109</v>
      </c>
      <c r="C5" s="4" t="s">
        <v>39</v>
      </c>
      <c r="D5" s="4" t="s">
        <v>110</v>
      </c>
      <c r="E5" s="4" t="s">
        <v>112</v>
      </c>
      <c r="F5" s="4" t="s">
        <v>113</v>
      </c>
      <c r="G5" s="4" t="s">
        <v>713</v>
      </c>
      <c r="H5" s="4" t="s">
        <v>116</v>
      </c>
      <c r="I5" s="4" t="s">
        <v>115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" customHeight="1" spans="1:26">
      <c r="A6" s="4" t="s">
        <v>38</v>
      </c>
      <c r="B6" s="4" t="s">
        <v>117</v>
      </c>
      <c r="C6" s="4" t="s">
        <v>39</v>
      </c>
      <c r="D6" s="4" t="s">
        <v>118</v>
      </c>
      <c r="E6" s="4" t="s">
        <v>120</v>
      </c>
      <c r="F6" s="4" t="s">
        <v>121</v>
      </c>
      <c r="G6" s="4" t="s">
        <v>714</v>
      </c>
      <c r="H6" s="4" t="s">
        <v>124</v>
      </c>
      <c r="I6" s="4" t="s">
        <v>123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" customHeight="1" spans="1:26">
      <c r="A7" s="4" t="s">
        <v>38</v>
      </c>
      <c r="B7" s="4" t="s">
        <v>125</v>
      </c>
      <c r="C7" s="4" t="s">
        <v>39</v>
      </c>
      <c r="D7" s="4" t="s">
        <v>126</v>
      </c>
      <c r="E7" s="4" t="s">
        <v>128</v>
      </c>
      <c r="F7" s="4" t="s">
        <v>129</v>
      </c>
      <c r="G7" s="4" t="s">
        <v>715</v>
      </c>
      <c r="H7" s="4" t="s">
        <v>132</v>
      </c>
      <c r="I7" s="4" t="s">
        <v>131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" customHeight="1" spans="1:26">
      <c r="A8" s="4" t="s">
        <v>38</v>
      </c>
      <c r="B8" s="4" t="s">
        <v>133</v>
      </c>
      <c r="C8" s="4" t="s">
        <v>39</v>
      </c>
      <c r="D8" s="4" t="s">
        <v>134</v>
      </c>
      <c r="E8" s="4" t="s">
        <v>136</v>
      </c>
      <c r="F8" s="4" t="s">
        <v>137</v>
      </c>
      <c r="G8" s="4" t="s">
        <v>716</v>
      </c>
      <c r="H8" s="4" t="s">
        <v>140</v>
      </c>
      <c r="I8" s="4" t="s">
        <v>139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" customHeight="1" spans="1:26">
      <c r="A9" s="4" t="s">
        <v>38</v>
      </c>
      <c r="B9" s="4" t="s">
        <v>141</v>
      </c>
      <c r="C9" s="4" t="s">
        <v>39</v>
      </c>
      <c r="D9" s="4" t="s">
        <v>142</v>
      </c>
      <c r="E9" s="4" t="s">
        <v>144</v>
      </c>
      <c r="F9" s="4" t="s">
        <v>145</v>
      </c>
      <c r="G9" s="4" t="s">
        <v>717</v>
      </c>
      <c r="H9" s="4" t="s">
        <v>148</v>
      </c>
      <c r="I9" s="4" t="s">
        <v>147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" customHeight="1" spans="1:26">
      <c r="A10" s="4" t="s">
        <v>38</v>
      </c>
      <c r="B10" s="4" t="s">
        <v>149</v>
      </c>
      <c r="C10" s="4" t="s">
        <v>39</v>
      </c>
      <c r="D10" s="4" t="s">
        <v>150</v>
      </c>
      <c r="E10" s="4" t="s">
        <v>152</v>
      </c>
      <c r="F10" s="4" t="s">
        <v>153</v>
      </c>
      <c r="G10" s="4" t="s">
        <v>40</v>
      </c>
      <c r="H10" s="4" t="s">
        <v>156</v>
      </c>
      <c r="I10" s="4" t="s">
        <v>155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" customHeight="1" spans="1:26">
      <c r="A11" s="4" t="s">
        <v>42</v>
      </c>
      <c r="B11" s="4" t="s">
        <v>86</v>
      </c>
      <c r="C11" s="4" t="s">
        <v>43</v>
      </c>
      <c r="D11" s="4" t="s">
        <v>158</v>
      </c>
      <c r="E11" s="4" t="s">
        <v>160</v>
      </c>
      <c r="F11" s="4" t="s">
        <v>161</v>
      </c>
      <c r="G11" s="4" t="s">
        <v>718</v>
      </c>
      <c r="H11" s="4" t="s">
        <v>164</v>
      </c>
      <c r="I11" s="4" t="s">
        <v>163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" customHeight="1" spans="1:26">
      <c r="A12" s="4" t="s">
        <v>42</v>
      </c>
      <c r="B12" s="4" t="s">
        <v>109</v>
      </c>
      <c r="C12" s="4" t="s">
        <v>43</v>
      </c>
      <c r="D12" s="4" t="s">
        <v>165</v>
      </c>
      <c r="E12" s="4" t="s">
        <v>167</v>
      </c>
      <c r="F12" s="4" t="s">
        <v>168</v>
      </c>
      <c r="G12" s="4" t="s">
        <v>719</v>
      </c>
      <c r="H12" s="4" t="s">
        <v>171</v>
      </c>
      <c r="I12" s="4" t="s">
        <v>170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" customHeight="1" spans="1:26">
      <c r="A13" s="4" t="s">
        <v>42</v>
      </c>
      <c r="B13" s="4" t="s">
        <v>117</v>
      </c>
      <c r="C13" s="4" t="s">
        <v>43</v>
      </c>
      <c r="D13" s="4" t="s">
        <v>172</v>
      </c>
      <c r="E13" s="4" t="s">
        <v>174</v>
      </c>
      <c r="F13" s="4" t="s">
        <v>175</v>
      </c>
      <c r="G13" s="4" t="s">
        <v>720</v>
      </c>
      <c r="H13" s="4" t="s">
        <v>178</v>
      </c>
      <c r="I13" s="4" t="s">
        <v>177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" customHeight="1" spans="1:26">
      <c r="A14" s="4" t="s">
        <v>42</v>
      </c>
      <c r="B14" s="4" t="s">
        <v>125</v>
      </c>
      <c r="C14" s="4" t="s">
        <v>43</v>
      </c>
      <c r="D14" s="4" t="s">
        <v>179</v>
      </c>
      <c r="E14" s="4" t="s">
        <v>181</v>
      </c>
      <c r="F14" s="4" t="s">
        <v>182</v>
      </c>
      <c r="G14" s="4" t="s">
        <v>721</v>
      </c>
      <c r="H14" s="4" t="s">
        <v>185</v>
      </c>
      <c r="I14" s="4" t="s">
        <v>184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" customHeight="1" spans="1:26">
      <c r="A15" s="4" t="s">
        <v>42</v>
      </c>
      <c r="B15" s="4" t="s">
        <v>133</v>
      </c>
      <c r="C15" s="4" t="s">
        <v>43</v>
      </c>
      <c r="D15" s="4" t="s">
        <v>186</v>
      </c>
      <c r="E15" s="4" t="s">
        <v>188</v>
      </c>
      <c r="F15" s="4" t="s">
        <v>189</v>
      </c>
      <c r="G15" s="4" t="s">
        <v>722</v>
      </c>
      <c r="H15" s="4" t="s">
        <v>192</v>
      </c>
      <c r="I15" s="4" t="s">
        <v>191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" customHeight="1" spans="1:26">
      <c r="A16" s="4" t="s">
        <v>42</v>
      </c>
      <c r="B16" s="4" t="s">
        <v>141</v>
      </c>
      <c r="C16" s="4" t="s">
        <v>43</v>
      </c>
      <c r="D16" s="4" t="s">
        <v>193</v>
      </c>
      <c r="E16" s="4" t="s">
        <v>195</v>
      </c>
      <c r="F16" s="4" t="s">
        <v>196</v>
      </c>
      <c r="G16" s="4" t="s">
        <v>723</v>
      </c>
      <c r="H16" s="4" t="s">
        <v>199</v>
      </c>
      <c r="I16" s="4" t="s">
        <v>198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" customHeight="1" spans="1:26">
      <c r="A17" s="4" t="s">
        <v>42</v>
      </c>
      <c r="B17" s="4" t="s">
        <v>149</v>
      </c>
      <c r="C17" s="4" t="s">
        <v>43</v>
      </c>
      <c r="D17" s="4" t="s">
        <v>200</v>
      </c>
      <c r="E17" s="4" t="s">
        <v>202</v>
      </c>
      <c r="F17" s="4" t="s">
        <v>203</v>
      </c>
      <c r="G17" s="4" t="s">
        <v>44</v>
      </c>
      <c r="H17" s="4" t="s">
        <v>206</v>
      </c>
      <c r="I17" s="4" t="s">
        <v>205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" customHeight="1" spans="1:26">
      <c r="A18" s="4" t="s">
        <v>45</v>
      </c>
      <c r="B18" s="4" t="s">
        <v>86</v>
      </c>
      <c r="C18" s="4" t="s">
        <v>46</v>
      </c>
      <c r="D18" s="4" t="s">
        <v>208</v>
      </c>
      <c r="E18" s="4" t="s">
        <v>210</v>
      </c>
      <c r="F18" s="4" t="s">
        <v>211</v>
      </c>
      <c r="G18" s="4" t="s">
        <v>724</v>
      </c>
      <c r="H18" s="4" t="s">
        <v>214</v>
      </c>
      <c r="I18" s="4" t="s">
        <v>213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" customHeight="1" spans="1:26">
      <c r="A19" s="4" t="s">
        <v>45</v>
      </c>
      <c r="B19" s="4" t="s">
        <v>109</v>
      </c>
      <c r="C19" s="4" t="s">
        <v>46</v>
      </c>
      <c r="D19" s="4" t="s">
        <v>215</v>
      </c>
      <c r="E19" s="4" t="s">
        <v>217</v>
      </c>
      <c r="F19" s="4" t="s">
        <v>218</v>
      </c>
      <c r="G19" s="4" t="s">
        <v>725</v>
      </c>
      <c r="H19" s="4" t="s">
        <v>221</v>
      </c>
      <c r="I19" s="4" t="s">
        <v>220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" customHeight="1" spans="1:26">
      <c r="A20" s="4" t="s">
        <v>45</v>
      </c>
      <c r="B20" s="4" t="s">
        <v>117</v>
      </c>
      <c r="C20" s="4" t="s">
        <v>46</v>
      </c>
      <c r="D20" s="4" t="s">
        <v>222</v>
      </c>
      <c r="E20" s="4" t="s">
        <v>224</v>
      </c>
      <c r="F20" s="4" t="s">
        <v>225</v>
      </c>
      <c r="G20" s="4" t="s">
        <v>726</v>
      </c>
      <c r="H20" s="4" t="s">
        <v>228</v>
      </c>
      <c r="I20" s="4" t="s">
        <v>227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" customHeight="1" spans="1:26">
      <c r="A21" s="4" t="s">
        <v>45</v>
      </c>
      <c r="B21" s="4" t="s">
        <v>125</v>
      </c>
      <c r="C21" s="4" t="s">
        <v>46</v>
      </c>
      <c r="D21" s="4" t="s">
        <v>229</v>
      </c>
      <c r="E21" s="4" t="s">
        <v>231</v>
      </c>
      <c r="F21" s="4" t="s">
        <v>232</v>
      </c>
      <c r="G21" s="4" t="s">
        <v>727</v>
      </c>
      <c r="H21" s="4" t="s">
        <v>235</v>
      </c>
      <c r="I21" s="4" t="s">
        <v>234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4" customHeight="1" spans="1:26">
      <c r="A22" s="4" t="s">
        <v>45</v>
      </c>
      <c r="B22" s="4" t="s">
        <v>133</v>
      </c>
      <c r="C22" s="4" t="s">
        <v>46</v>
      </c>
      <c r="D22" s="4" t="s">
        <v>236</v>
      </c>
      <c r="E22" s="4" t="s">
        <v>238</v>
      </c>
      <c r="F22" s="4" t="s">
        <v>239</v>
      </c>
      <c r="G22" s="4" t="s">
        <v>728</v>
      </c>
      <c r="H22" s="4" t="s">
        <v>242</v>
      </c>
      <c r="I22" s="4" t="s">
        <v>241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4" customHeight="1" spans="1:26">
      <c r="A23" s="4" t="s">
        <v>45</v>
      </c>
      <c r="B23" s="4" t="s">
        <v>141</v>
      </c>
      <c r="C23" s="4" t="s">
        <v>46</v>
      </c>
      <c r="D23" s="4" t="s">
        <v>243</v>
      </c>
      <c r="E23" s="4" t="s">
        <v>245</v>
      </c>
      <c r="F23" s="4" t="s">
        <v>246</v>
      </c>
      <c r="G23" s="4" t="s">
        <v>729</v>
      </c>
      <c r="H23" s="4" t="s">
        <v>249</v>
      </c>
      <c r="I23" s="4" t="s">
        <v>248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4" customHeight="1" spans="1:26">
      <c r="A24" s="4" t="s">
        <v>45</v>
      </c>
      <c r="B24" s="4" t="s">
        <v>149</v>
      </c>
      <c r="C24" s="4" t="s">
        <v>46</v>
      </c>
      <c r="D24" s="4" t="s">
        <v>250</v>
      </c>
      <c r="E24" s="4" t="s">
        <v>252</v>
      </c>
      <c r="F24" s="4" t="s">
        <v>253</v>
      </c>
      <c r="G24" s="4" t="s">
        <v>47</v>
      </c>
      <c r="H24" s="4" t="s">
        <v>256</v>
      </c>
      <c r="I24" s="4" t="s">
        <v>255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4" customHeight="1" spans="1:26">
      <c r="A25" s="4" t="s">
        <v>48</v>
      </c>
      <c r="B25" s="4" t="s">
        <v>86</v>
      </c>
      <c r="C25" s="4" t="s">
        <v>49</v>
      </c>
      <c r="D25" s="4" t="s">
        <v>258</v>
      </c>
      <c r="E25" s="4" t="s">
        <v>260</v>
      </c>
      <c r="F25" s="4" t="s">
        <v>261</v>
      </c>
      <c r="G25" s="4" t="s">
        <v>730</v>
      </c>
      <c r="H25" s="4" t="s">
        <v>264</v>
      </c>
      <c r="I25" s="4" t="s">
        <v>263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4" customHeight="1" spans="1:26">
      <c r="A26" s="4" t="s">
        <v>48</v>
      </c>
      <c r="B26" s="4" t="s">
        <v>109</v>
      </c>
      <c r="C26" s="4" t="s">
        <v>49</v>
      </c>
      <c r="D26" s="4" t="s">
        <v>265</v>
      </c>
      <c r="E26" s="4" t="s">
        <v>267</v>
      </c>
      <c r="F26" s="4" t="s">
        <v>268</v>
      </c>
      <c r="G26" s="4" t="s">
        <v>731</v>
      </c>
      <c r="H26" s="4" t="s">
        <v>271</v>
      </c>
      <c r="I26" s="4" t="s">
        <v>270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4" customHeight="1" spans="1:26">
      <c r="A27" s="4" t="s">
        <v>48</v>
      </c>
      <c r="B27" s="4" t="s">
        <v>117</v>
      </c>
      <c r="C27" s="4" t="s">
        <v>49</v>
      </c>
      <c r="D27" s="4" t="s">
        <v>272</v>
      </c>
      <c r="E27" s="4" t="s">
        <v>274</v>
      </c>
      <c r="F27" s="4" t="s">
        <v>275</v>
      </c>
      <c r="G27" s="4" t="s">
        <v>732</v>
      </c>
      <c r="H27" s="4" t="s">
        <v>278</v>
      </c>
      <c r="I27" s="4" t="s">
        <v>277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4" customHeight="1" spans="1:26">
      <c r="A28" s="4" t="s">
        <v>48</v>
      </c>
      <c r="B28" s="4" t="s">
        <v>125</v>
      </c>
      <c r="C28" s="4" t="s">
        <v>49</v>
      </c>
      <c r="D28" s="4" t="s">
        <v>279</v>
      </c>
      <c r="E28" s="4" t="s">
        <v>281</v>
      </c>
      <c r="F28" s="4" t="s">
        <v>282</v>
      </c>
      <c r="G28" s="4" t="s">
        <v>733</v>
      </c>
      <c r="H28" s="4" t="s">
        <v>285</v>
      </c>
      <c r="I28" s="4" t="s">
        <v>284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4" customHeight="1" spans="1:26">
      <c r="A29" s="4" t="s">
        <v>48</v>
      </c>
      <c r="B29" s="4" t="s">
        <v>133</v>
      </c>
      <c r="C29" s="4" t="s">
        <v>49</v>
      </c>
      <c r="D29" s="4" t="s">
        <v>286</v>
      </c>
      <c r="E29" s="4" t="s">
        <v>288</v>
      </c>
      <c r="F29" s="4" t="s">
        <v>289</v>
      </c>
      <c r="G29" s="4" t="s">
        <v>734</v>
      </c>
      <c r="H29" s="4" t="s">
        <v>292</v>
      </c>
      <c r="I29" s="4" t="s">
        <v>291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4" customHeight="1" spans="1:26">
      <c r="A30" s="4" t="s">
        <v>48</v>
      </c>
      <c r="B30" s="4" t="s">
        <v>141</v>
      </c>
      <c r="C30" s="4" t="s">
        <v>49</v>
      </c>
      <c r="D30" s="4" t="s">
        <v>293</v>
      </c>
      <c r="E30" s="4" t="s">
        <v>295</v>
      </c>
      <c r="F30" s="4" t="s">
        <v>296</v>
      </c>
      <c r="G30" s="4" t="s">
        <v>735</v>
      </c>
      <c r="H30" s="4" t="s">
        <v>299</v>
      </c>
      <c r="I30" s="4" t="s">
        <v>298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4" customHeight="1" spans="1:26">
      <c r="A31" s="4" t="s">
        <v>48</v>
      </c>
      <c r="B31" s="4" t="s">
        <v>149</v>
      </c>
      <c r="C31" s="4" t="s">
        <v>49</v>
      </c>
      <c r="D31" s="4" t="s">
        <v>300</v>
      </c>
      <c r="E31" s="4" t="s">
        <v>302</v>
      </c>
      <c r="F31" s="4" t="s">
        <v>303</v>
      </c>
      <c r="G31" s="4" t="s">
        <v>50</v>
      </c>
      <c r="H31" s="4" t="s">
        <v>306</v>
      </c>
      <c r="I31" s="4" t="s">
        <v>305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4" customHeight="1" spans="1:26">
      <c r="A32" s="4" t="s">
        <v>51</v>
      </c>
      <c r="B32" s="4" t="s">
        <v>86</v>
      </c>
      <c r="C32" s="4" t="s">
        <v>52</v>
      </c>
      <c r="D32" s="4" t="s">
        <v>308</v>
      </c>
      <c r="E32" s="4" t="s">
        <v>310</v>
      </c>
      <c r="F32" s="4" t="s">
        <v>311</v>
      </c>
      <c r="G32" s="4" t="s">
        <v>736</v>
      </c>
      <c r="H32" s="4" t="s">
        <v>314</v>
      </c>
      <c r="I32" s="4" t="s">
        <v>313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4" customHeight="1" spans="1:26">
      <c r="A33" s="4" t="s">
        <v>51</v>
      </c>
      <c r="B33" s="4" t="s">
        <v>109</v>
      </c>
      <c r="C33" s="4" t="s">
        <v>52</v>
      </c>
      <c r="D33" s="4" t="s">
        <v>315</v>
      </c>
      <c r="E33" s="4" t="s">
        <v>317</v>
      </c>
      <c r="F33" s="4" t="s">
        <v>318</v>
      </c>
      <c r="G33" s="4" t="s">
        <v>737</v>
      </c>
      <c r="H33" s="4" t="s">
        <v>321</v>
      </c>
      <c r="I33" s="4" t="s">
        <v>320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>
      <c r="A34" s="4" t="s">
        <v>51</v>
      </c>
      <c r="B34" s="4" t="s">
        <v>117</v>
      </c>
      <c r="C34" s="4" t="s">
        <v>52</v>
      </c>
      <c r="D34" s="4" t="s">
        <v>322</v>
      </c>
      <c r="E34" s="4" t="s">
        <v>324</v>
      </c>
      <c r="F34" s="4" t="s">
        <v>325</v>
      </c>
      <c r="G34" s="4" t="s">
        <v>738</v>
      </c>
      <c r="H34" s="4" t="s">
        <v>328</v>
      </c>
      <c r="I34" s="4" t="s">
        <v>327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4" customHeight="1" spans="1:26">
      <c r="A35" s="4" t="s">
        <v>51</v>
      </c>
      <c r="B35" s="4" t="s">
        <v>125</v>
      </c>
      <c r="C35" s="4" t="s">
        <v>52</v>
      </c>
      <c r="D35" s="4" t="s">
        <v>329</v>
      </c>
      <c r="E35" s="4" t="s">
        <v>331</v>
      </c>
      <c r="F35" s="4" t="s">
        <v>332</v>
      </c>
      <c r="G35" s="4" t="s">
        <v>739</v>
      </c>
      <c r="H35" s="4" t="s">
        <v>335</v>
      </c>
      <c r="I35" s="4" t="s">
        <v>334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" customHeight="1" spans="1:26">
      <c r="A36" s="4" t="s">
        <v>51</v>
      </c>
      <c r="B36" s="4" t="s">
        <v>133</v>
      </c>
      <c r="C36" s="4" t="s">
        <v>52</v>
      </c>
      <c r="D36" s="4" t="s">
        <v>336</v>
      </c>
      <c r="E36" s="4" t="s">
        <v>338</v>
      </c>
      <c r="F36" s="4" t="s">
        <v>339</v>
      </c>
      <c r="G36" s="4" t="s">
        <v>740</v>
      </c>
      <c r="H36" s="4" t="s">
        <v>342</v>
      </c>
      <c r="I36" s="4" t="s">
        <v>341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4" customHeight="1" spans="1:26">
      <c r="A37" s="4" t="s">
        <v>51</v>
      </c>
      <c r="B37" s="4" t="s">
        <v>141</v>
      </c>
      <c r="C37" s="4" t="s">
        <v>52</v>
      </c>
      <c r="D37" s="4" t="s">
        <v>343</v>
      </c>
      <c r="E37" s="4" t="s">
        <v>345</v>
      </c>
      <c r="F37" s="4" t="s">
        <v>346</v>
      </c>
      <c r="G37" s="4" t="s">
        <v>741</v>
      </c>
      <c r="H37" s="4" t="s">
        <v>349</v>
      </c>
      <c r="I37" s="4" t="s">
        <v>348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4" customHeight="1" spans="1:26">
      <c r="A38" s="4" t="s">
        <v>51</v>
      </c>
      <c r="B38" s="4" t="s">
        <v>149</v>
      </c>
      <c r="C38" s="4" t="s">
        <v>52</v>
      </c>
      <c r="D38" s="4" t="s">
        <v>350</v>
      </c>
      <c r="E38" s="4" t="s">
        <v>352</v>
      </c>
      <c r="F38" s="4" t="s">
        <v>353</v>
      </c>
      <c r="G38" s="4" t="s">
        <v>53</v>
      </c>
      <c r="H38" s="4" t="s">
        <v>356</v>
      </c>
      <c r="I38" s="4" t="s">
        <v>355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4" customHeight="1" spans="1:26">
      <c r="A39" s="4" t="s">
        <v>54</v>
      </c>
      <c r="B39" s="4" t="s">
        <v>86</v>
      </c>
      <c r="C39" s="4" t="s">
        <v>55</v>
      </c>
      <c r="D39" s="4" t="s">
        <v>358</v>
      </c>
      <c r="E39" s="4" t="s">
        <v>360</v>
      </c>
      <c r="F39" s="4" t="s">
        <v>361</v>
      </c>
      <c r="G39" s="4" t="s">
        <v>742</v>
      </c>
      <c r="H39" s="4" t="s">
        <v>364</v>
      </c>
      <c r="I39" s="4" t="s">
        <v>363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4" customHeight="1" spans="1:26">
      <c r="A40" s="4" t="s">
        <v>54</v>
      </c>
      <c r="B40" s="4" t="s">
        <v>109</v>
      </c>
      <c r="C40" s="4" t="s">
        <v>55</v>
      </c>
      <c r="D40" s="4" t="s">
        <v>365</v>
      </c>
      <c r="E40" s="4" t="s">
        <v>367</v>
      </c>
      <c r="F40" s="4" t="s">
        <v>368</v>
      </c>
      <c r="G40" s="4" t="s">
        <v>743</v>
      </c>
      <c r="H40" s="4" t="s">
        <v>371</v>
      </c>
      <c r="I40" s="4" t="s">
        <v>370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4" customHeight="1" spans="1:26">
      <c r="A41" s="4" t="s">
        <v>54</v>
      </c>
      <c r="B41" s="4" t="s">
        <v>117</v>
      </c>
      <c r="C41" s="4" t="s">
        <v>55</v>
      </c>
      <c r="D41" s="4" t="s">
        <v>372</v>
      </c>
      <c r="E41" s="4" t="s">
        <v>374</v>
      </c>
      <c r="F41" s="4" t="s">
        <v>375</v>
      </c>
      <c r="G41" s="4" t="s">
        <v>744</v>
      </c>
      <c r="H41" s="4" t="s">
        <v>378</v>
      </c>
      <c r="I41" s="4" t="s">
        <v>377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4" customHeight="1" spans="1:26">
      <c r="A42" s="4" t="s">
        <v>54</v>
      </c>
      <c r="B42" s="4" t="s">
        <v>125</v>
      </c>
      <c r="C42" s="4" t="s">
        <v>55</v>
      </c>
      <c r="D42" s="4" t="s">
        <v>379</v>
      </c>
      <c r="E42" s="4" t="s">
        <v>381</v>
      </c>
      <c r="F42" s="4" t="s">
        <v>382</v>
      </c>
      <c r="G42" s="4" t="s">
        <v>745</v>
      </c>
      <c r="H42" s="4" t="s">
        <v>385</v>
      </c>
      <c r="I42" s="4" t="s">
        <v>384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4" customHeight="1" spans="1:26">
      <c r="A43" s="4" t="s">
        <v>54</v>
      </c>
      <c r="B43" s="4" t="s">
        <v>133</v>
      </c>
      <c r="C43" s="4" t="s">
        <v>55</v>
      </c>
      <c r="D43" s="4" t="s">
        <v>386</v>
      </c>
      <c r="E43" s="4" t="s">
        <v>388</v>
      </c>
      <c r="F43" s="4" t="s">
        <v>389</v>
      </c>
      <c r="G43" s="4" t="s">
        <v>746</v>
      </c>
      <c r="H43" s="4" t="s">
        <v>392</v>
      </c>
      <c r="I43" s="4" t="s">
        <v>391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4" customHeight="1" spans="1:26">
      <c r="A44" s="4" t="s">
        <v>54</v>
      </c>
      <c r="B44" s="4" t="s">
        <v>141</v>
      </c>
      <c r="C44" s="4" t="s">
        <v>55</v>
      </c>
      <c r="D44" s="4" t="s">
        <v>393</v>
      </c>
      <c r="E44" s="4" t="s">
        <v>395</v>
      </c>
      <c r="F44" s="4" t="s">
        <v>396</v>
      </c>
      <c r="G44" s="4" t="s">
        <v>747</v>
      </c>
      <c r="H44" s="4" t="s">
        <v>399</v>
      </c>
      <c r="I44" s="4" t="s">
        <v>398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4" customHeight="1" spans="1:26">
      <c r="A45" s="4" t="s">
        <v>54</v>
      </c>
      <c r="B45" s="4" t="s">
        <v>149</v>
      </c>
      <c r="C45" s="4" t="s">
        <v>55</v>
      </c>
      <c r="D45" s="4" t="s">
        <v>400</v>
      </c>
      <c r="E45" s="4" t="s">
        <v>402</v>
      </c>
      <c r="F45" s="4" t="s">
        <v>403</v>
      </c>
      <c r="G45" s="4" t="s">
        <v>56</v>
      </c>
      <c r="H45" s="4" t="s">
        <v>406</v>
      </c>
      <c r="I45" s="4" t="s">
        <v>405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4" customHeight="1" spans="1:26">
      <c r="A46" s="4" t="s">
        <v>57</v>
      </c>
      <c r="B46" s="4" t="s">
        <v>86</v>
      </c>
      <c r="C46" s="4" t="s">
        <v>58</v>
      </c>
      <c r="D46" s="4" t="s">
        <v>408</v>
      </c>
      <c r="E46" s="4" t="s">
        <v>410</v>
      </c>
      <c r="F46" s="4" t="s">
        <v>411</v>
      </c>
      <c r="G46" s="4" t="s">
        <v>748</v>
      </c>
      <c r="H46" s="4" t="s">
        <v>414</v>
      </c>
      <c r="I46" s="4" t="s">
        <v>413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4" customHeight="1" spans="1:26">
      <c r="A47" s="4" t="s">
        <v>57</v>
      </c>
      <c r="B47" s="4" t="s">
        <v>109</v>
      </c>
      <c r="C47" s="4" t="s">
        <v>58</v>
      </c>
      <c r="D47" s="4" t="s">
        <v>415</v>
      </c>
      <c r="E47" s="4" t="s">
        <v>417</v>
      </c>
      <c r="F47" s="4" t="s">
        <v>418</v>
      </c>
      <c r="G47" s="4" t="s">
        <v>749</v>
      </c>
      <c r="H47" s="4" t="s">
        <v>421</v>
      </c>
      <c r="I47" s="4" t="s">
        <v>420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4" customHeight="1" spans="1:26">
      <c r="A48" s="4" t="s">
        <v>57</v>
      </c>
      <c r="B48" s="4" t="s">
        <v>117</v>
      </c>
      <c r="C48" s="4" t="s">
        <v>58</v>
      </c>
      <c r="D48" s="4" t="s">
        <v>422</v>
      </c>
      <c r="E48" s="4" t="s">
        <v>424</v>
      </c>
      <c r="F48" s="4" t="s">
        <v>425</v>
      </c>
      <c r="G48" s="4" t="s">
        <v>750</v>
      </c>
      <c r="H48" s="4" t="s">
        <v>428</v>
      </c>
      <c r="I48" s="4" t="s">
        <v>427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4" customHeight="1" spans="1:26">
      <c r="A49" s="4" t="s">
        <v>57</v>
      </c>
      <c r="B49" s="4" t="s">
        <v>125</v>
      </c>
      <c r="C49" s="4" t="s">
        <v>58</v>
      </c>
      <c r="D49" s="4" t="s">
        <v>429</v>
      </c>
      <c r="E49" s="4" t="s">
        <v>431</v>
      </c>
      <c r="F49" s="4" t="s">
        <v>432</v>
      </c>
      <c r="G49" s="4" t="s">
        <v>751</v>
      </c>
      <c r="H49" s="4" t="s">
        <v>435</v>
      </c>
      <c r="I49" s="4" t="s">
        <v>434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4" customHeight="1" spans="1:26">
      <c r="A50" s="4" t="s">
        <v>57</v>
      </c>
      <c r="B50" s="4" t="s">
        <v>133</v>
      </c>
      <c r="C50" s="4" t="s">
        <v>58</v>
      </c>
      <c r="D50" s="4" t="s">
        <v>436</v>
      </c>
      <c r="E50" s="4" t="s">
        <v>438</v>
      </c>
      <c r="F50" s="4" t="s">
        <v>439</v>
      </c>
      <c r="G50" s="4" t="s">
        <v>752</v>
      </c>
      <c r="H50" s="4" t="s">
        <v>442</v>
      </c>
      <c r="I50" s="4" t="s">
        <v>441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4" customHeight="1" spans="1:26">
      <c r="A51" s="4" t="s">
        <v>57</v>
      </c>
      <c r="B51" s="4" t="s">
        <v>141</v>
      </c>
      <c r="C51" s="4" t="s">
        <v>58</v>
      </c>
      <c r="D51" s="4" t="s">
        <v>443</v>
      </c>
      <c r="E51" s="4" t="s">
        <v>445</v>
      </c>
      <c r="F51" s="4" t="s">
        <v>446</v>
      </c>
      <c r="G51" s="4" t="s">
        <v>753</v>
      </c>
      <c r="H51" s="4" t="s">
        <v>449</v>
      </c>
      <c r="I51" s="4" t="s">
        <v>448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4" customHeight="1" spans="1:26">
      <c r="A52" s="4" t="s">
        <v>57</v>
      </c>
      <c r="B52" s="4" t="s">
        <v>149</v>
      </c>
      <c r="C52" s="4" t="s">
        <v>58</v>
      </c>
      <c r="D52" s="4" t="s">
        <v>450</v>
      </c>
      <c r="E52" s="4" t="s">
        <v>452</v>
      </c>
      <c r="F52" s="4" t="s">
        <v>453</v>
      </c>
      <c r="G52" s="4" t="s">
        <v>59</v>
      </c>
      <c r="H52" s="4" t="s">
        <v>456</v>
      </c>
      <c r="I52" s="4" t="s">
        <v>455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4" customHeight="1" spans="1:26">
      <c r="A53" s="4" t="s">
        <v>60</v>
      </c>
      <c r="B53" s="4" t="s">
        <v>86</v>
      </c>
      <c r="C53" s="4" t="s">
        <v>61</v>
      </c>
      <c r="D53" s="4" t="s">
        <v>458</v>
      </c>
      <c r="E53" s="4" t="s">
        <v>460</v>
      </c>
      <c r="F53" s="4" t="s">
        <v>461</v>
      </c>
      <c r="G53" s="4" t="s">
        <v>754</v>
      </c>
      <c r="H53" s="4" t="s">
        <v>464</v>
      </c>
      <c r="I53" s="4" t="s">
        <v>463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4" customHeight="1" spans="1:26">
      <c r="A54" s="4" t="s">
        <v>60</v>
      </c>
      <c r="B54" s="4" t="s">
        <v>109</v>
      </c>
      <c r="C54" s="4" t="s">
        <v>61</v>
      </c>
      <c r="D54" s="4" t="s">
        <v>465</v>
      </c>
      <c r="E54" s="4" t="s">
        <v>467</v>
      </c>
      <c r="F54" s="4" t="s">
        <v>468</v>
      </c>
      <c r="G54" s="4" t="s">
        <v>755</v>
      </c>
      <c r="H54" s="4" t="s">
        <v>471</v>
      </c>
      <c r="I54" s="4" t="s">
        <v>470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4" customHeight="1" spans="1:26">
      <c r="A55" s="4" t="s">
        <v>60</v>
      </c>
      <c r="B55" s="4" t="s">
        <v>117</v>
      </c>
      <c r="C55" s="4" t="s">
        <v>61</v>
      </c>
      <c r="D55" s="4" t="s">
        <v>472</v>
      </c>
      <c r="E55" s="4" t="s">
        <v>474</v>
      </c>
      <c r="F55" s="4" t="s">
        <v>475</v>
      </c>
      <c r="G55" s="4" t="s">
        <v>756</v>
      </c>
      <c r="H55" s="4" t="s">
        <v>478</v>
      </c>
      <c r="I55" s="4" t="s">
        <v>477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4" customHeight="1" spans="1:26">
      <c r="A56" s="4" t="s">
        <v>60</v>
      </c>
      <c r="B56" s="4" t="s">
        <v>125</v>
      </c>
      <c r="C56" s="4" t="s">
        <v>61</v>
      </c>
      <c r="D56" s="4" t="s">
        <v>479</v>
      </c>
      <c r="E56" s="4" t="s">
        <v>481</v>
      </c>
      <c r="F56" s="4" t="s">
        <v>482</v>
      </c>
      <c r="G56" s="4" t="s">
        <v>757</v>
      </c>
      <c r="H56" s="4" t="s">
        <v>485</v>
      </c>
      <c r="I56" s="4" t="s">
        <v>484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4" customHeight="1" spans="1:26">
      <c r="A57" s="4" t="s">
        <v>60</v>
      </c>
      <c r="B57" s="4" t="s">
        <v>133</v>
      </c>
      <c r="C57" s="4" t="s">
        <v>61</v>
      </c>
      <c r="D57" s="4" t="s">
        <v>486</v>
      </c>
      <c r="E57" s="4" t="s">
        <v>488</v>
      </c>
      <c r="F57" s="4" t="s">
        <v>489</v>
      </c>
      <c r="G57" s="4" t="s">
        <v>758</v>
      </c>
      <c r="H57" s="4" t="s">
        <v>492</v>
      </c>
      <c r="I57" s="4" t="s">
        <v>491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4" customHeight="1" spans="1:26">
      <c r="A58" s="4" t="s">
        <v>60</v>
      </c>
      <c r="B58" s="4" t="s">
        <v>141</v>
      </c>
      <c r="C58" s="4" t="s">
        <v>61</v>
      </c>
      <c r="D58" s="4" t="s">
        <v>493</v>
      </c>
      <c r="E58" s="4" t="s">
        <v>495</v>
      </c>
      <c r="F58" s="4" t="s">
        <v>496</v>
      </c>
      <c r="G58" s="4" t="s">
        <v>759</v>
      </c>
      <c r="H58" s="4" t="s">
        <v>499</v>
      </c>
      <c r="I58" s="4" t="s">
        <v>498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4" customHeight="1" spans="1:26">
      <c r="A59" s="4" t="s">
        <v>60</v>
      </c>
      <c r="B59" s="4" t="s">
        <v>149</v>
      </c>
      <c r="C59" s="4" t="s">
        <v>61</v>
      </c>
      <c r="D59" s="4" t="s">
        <v>500</v>
      </c>
      <c r="E59" s="4" t="s">
        <v>502</v>
      </c>
      <c r="F59" s="4" t="s">
        <v>503</v>
      </c>
      <c r="G59" s="4" t="s">
        <v>62</v>
      </c>
      <c r="H59" s="4" t="s">
        <v>506</v>
      </c>
      <c r="I59" s="4" t="s">
        <v>505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4" customHeight="1" spans="1:26">
      <c r="A60" s="4" t="s">
        <v>63</v>
      </c>
      <c r="B60" s="4" t="s">
        <v>86</v>
      </c>
      <c r="C60" s="4" t="s">
        <v>64</v>
      </c>
      <c r="D60" s="4" t="s">
        <v>508</v>
      </c>
      <c r="E60" s="4" t="s">
        <v>510</v>
      </c>
      <c r="F60" s="4" t="s">
        <v>511</v>
      </c>
      <c r="G60" s="4" t="s">
        <v>760</v>
      </c>
      <c r="H60" s="4" t="s">
        <v>514</v>
      </c>
      <c r="I60" s="4" t="s">
        <v>513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4" customHeight="1" spans="1:26">
      <c r="A61" s="4" t="s">
        <v>63</v>
      </c>
      <c r="B61" s="4" t="s">
        <v>109</v>
      </c>
      <c r="C61" s="4" t="s">
        <v>64</v>
      </c>
      <c r="D61" s="4" t="s">
        <v>515</v>
      </c>
      <c r="E61" s="4" t="s">
        <v>517</v>
      </c>
      <c r="F61" s="4" t="s">
        <v>518</v>
      </c>
      <c r="G61" s="4" t="s">
        <v>761</v>
      </c>
      <c r="H61" s="4" t="s">
        <v>521</v>
      </c>
      <c r="I61" s="4" t="s">
        <v>520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4" customHeight="1" spans="1:26">
      <c r="A62" s="4" t="s">
        <v>63</v>
      </c>
      <c r="B62" s="4" t="s">
        <v>117</v>
      </c>
      <c r="C62" s="4" t="s">
        <v>64</v>
      </c>
      <c r="D62" s="4" t="s">
        <v>522</v>
      </c>
      <c r="E62" s="4" t="s">
        <v>524</v>
      </c>
      <c r="F62" s="4" t="s">
        <v>525</v>
      </c>
      <c r="G62" s="4" t="s">
        <v>762</v>
      </c>
      <c r="H62" s="4" t="s">
        <v>528</v>
      </c>
      <c r="I62" s="4" t="s">
        <v>527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4" customHeight="1" spans="1:26">
      <c r="A63" s="4" t="s">
        <v>63</v>
      </c>
      <c r="B63" s="4" t="s">
        <v>125</v>
      </c>
      <c r="C63" s="4" t="s">
        <v>64</v>
      </c>
      <c r="D63" s="4" t="s">
        <v>529</v>
      </c>
      <c r="E63" s="4" t="s">
        <v>531</v>
      </c>
      <c r="F63" s="4" t="s">
        <v>532</v>
      </c>
      <c r="G63" s="4" t="s">
        <v>763</v>
      </c>
      <c r="H63" s="4" t="s">
        <v>535</v>
      </c>
      <c r="I63" s="4" t="s">
        <v>534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4" customHeight="1" spans="1:26">
      <c r="A64" s="4" t="s">
        <v>63</v>
      </c>
      <c r="B64" s="4" t="s">
        <v>133</v>
      </c>
      <c r="C64" s="4" t="s">
        <v>64</v>
      </c>
      <c r="D64" s="4" t="s">
        <v>536</v>
      </c>
      <c r="E64" s="4" t="s">
        <v>538</v>
      </c>
      <c r="F64" s="4" t="s">
        <v>539</v>
      </c>
      <c r="G64" s="4" t="s">
        <v>764</v>
      </c>
      <c r="H64" s="4" t="s">
        <v>542</v>
      </c>
      <c r="I64" s="4" t="s">
        <v>541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4" customHeight="1" spans="1:26">
      <c r="A65" s="4" t="s">
        <v>63</v>
      </c>
      <c r="B65" s="4" t="s">
        <v>141</v>
      </c>
      <c r="C65" s="4" t="s">
        <v>64</v>
      </c>
      <c r="D65" s="4" t="s">
        <v>543</v>
      </c>
      <c r="E65" s="4" t="s">
        <v>545</v>
      </c>
      <c r="F65" s="4" t="s">
        <v>546</v>
      </c>
      <c r="G65" s="4" t="s">
        <v>765</v>
      </c>
      <c r="H65" s="4" t="s">
        <v>549</v>
      </c>
      <c r="I65" s="4" t="s">
        <v>548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4" customHeight="1" spans="1:26">
      <c r="A66" s="4" t="s">
        <v>63</v>
      </c>
      <c r="B66" s="4" t="s">
        <v>149</v>
      </c>
      <c r="C66" s="4" t="s">
        <v>64</v>
      </c>
      <c r="D66" s="4" t="s">
        <v>550</v>
      </c>
      <c r="E66" s="4" t="s">
        <v>552</v>
      </c>
      <c r="F66" s="4" t="s">
        <v>553</v>
      </c>
      <c r="G66" s="4" t="s">
        <v>65</v>
      </c>
      <c r="H66" s="4" t="s">
        <v>556</v>
      </c>
      <c r="I66" s="4" t="s">
        <v>555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4" customHeight="1" spans="1:26">
      <c r="A67" s="4" t="s">
        <v>66</v>
      </c>
      <c r="B67" s="4" t="s">
        <v>86</v>
      </c>
      <c r="C67" s="4" t="s">
        <v>67</v>
      </c>
      <c r="D67" s="4" t="s">
        <v>558</v>
      </c>
      <c r="E67" s="4" t="s">
        <v>560</v>
      </c>
      <c r="F67" s="4" t="s">
        <v>561</v>
      </c>
      <c r="G67" s="4" t="s">
        <v>766</v>
      </c>
      <c r="H67" s="4" t="s">
        <v>564</v>
      </c>
      <c r="I67" s="4" t="s">
        <v>563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4" customHeight="1" spans="1:26">
      <c r="A68" s="4" t="s">
        <v>66</v>
      </c>
      <c r="B68" s="4" t="s">
        <v>109</v>
      </c>
      <c r="C68" s="4" t="s">
        <v>67</v>
      </c>
      <c r="D68" s="4" t="s">
        <v>565</v>
      </c>
      <c r="E68" s="4" t="s">
        <v>567</v>
      </c>
      <c r="F68" s="4" t="s">
        <v>568</v>
      </c>
      <c r="G68" s="4" t="s">
        <v>767</v>
      </c>
      <c r="H68" s="4" t="s">
        <v>571</v>
      </c>
      <c r="I68" s="4" t="s">
        <v>570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4" customHeight="1" spans="1:26">
      <c r="A69" s="4" t="s">
        <v>66</v>
      </c>
      <c r="B69" s="4" t="s">
        <v>117</v>
      </c>
      <c r="C69" s="4" t="s">
        <v>67</v>
      </c>
      <c r="D69" s="4" t="s">
        <v>572</v>
      </c>
      <c r="E69" s="4" t="s">
        <v>574</v>
      </c>
      <c r="F69" s="4" t="s">
        <v>575</v>
      </c>
      <c r="G69" s="4" t="s">
        <v>768</v>
      </c>
      <c r="H69" s="4" t="s">
        <v>578</v>
      </c>
      <c r="I69" s="4" t="s">
        <v>577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4" customHeight="1" spans="1:26">
      <c r="A70" s="4" t="s">
        <v>66</v>
      </c>
      <c r="B70" s="4" t="s">
        <v>125</v>
      </c>
      <c r="C70" s="4" t="s">
        <v>67</v>
      </c>
      <c r="D70" s="4" t="s">
        <v>579</v>
      </c>
      <c r="E70" s="4" t="s">
        <v>581</v>
      </c>
      <c r="F70" s="4" t="s">
        <v>582</v>
      </c>
      <c r="G70" s="4" t="s">
        <v>769</v>
      </c>
      <c r="H70" s="4" t="s">
        <v>585</v>
      </c>
      <c r="I70" s="4" t="s">
        <v>584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4" customHeight="1" spans="1:26">
      <c r="A71" s="4" t="s">
        <v>66</v>
      </c>
      <c r="B71" s="4" t="s">
        <v>133</v>
      </c>
      <c r="C71" s="4" t="s">
        <v>67</v>
      </c>
      <c r="D71" s="4" t="s">
        <v>586</v>
      </c>
      <c r="E71" s="4" t="s">
        <v>588</v>
      </c>
      <c r="F71" s="4" t="s">
        <v>589</v>
      </c>
      <c r="G71" s="4" t="s">
        <v>770</v>
      </c>
      <c r="H71" s="4" t="s">
        <v>592</v>
      </c>
      <c r="I71" s="4" t="s">
        <v>591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4" customHeight="1" spans="1:26">
      <c r="A72" s="4" t="s">
        <v>66</v>
      </c>
      <c r="B72" s="4" t="s">
        <v>141</v>
      </c>
      <c r="C72" s="4" t="s">
        <v>67</v>
      </c>
      <c r="D72" s="4" t="s">
        <v>593</v>
      </c>
      <c r="E72" s="4" t="s">
        <v>595</v>
      </c>
      <c r="F72" s="4" t="s">
        <v>596</v>
      </c>
      <c r="G72" s="4" t="s">
        <v>771</v>
      </c>
      <c r="H72" s="4" t="s">
        <v>599</v>
      </c>
      <c r="I72" s="4" t="s">
        <v>598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4" customHeight="1" spans="1:26">
      <c r="A73" s="4" t="s">
        <v>66</v>
      </c>
      <c r="B73" s="4" t="s">
        <v>149</v>
      </c>
      <c r="C73" s="4" t="s">
        <v>67</v>
      </c>
      <c r="D73" s="4" t="s">
        <v>600</v>
      </c>
      <c r="E73" s="4" t="s">
        <v>602</v>
      </c>
      <c r="F73" s="4" t="s">
        <v>603</v>
      </c>
      <c r="G73" s="4" t="s">
        <v>68</v>
      </c>
      <c r="H73" s="4" t="s">
        <v>606</v>
      </c>
      <c r="I73" s="4" t="s">
        <v>605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4" customHeight="1" spans="1:26">
      <c r="A74" s="4" t="s">
        <v>69</v>
      </c>
      <c r="B74" s="4" t="s">
        <v>86</v>
      </c>
      <c r="C74" s="4" t="s">
        <v>70</v>
      </c>
      <c r="D74" s="4" t="s">
        <v>608</v>
      </c>
      <c r="E74" s="4" t="s">
        <v>610</v>
      </c>
      <c r="F74" s="4" t="s">
        <v>611</v>
      </c>
      <c r="G74" s="4" t="s">
        <v>772</v>
      </c>
      <c r="H74" s="4" t="s">
        <v>614</v>
      </c>
      <c r="I74" s="4" t="s">
        <v>613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54" customHeight="1" spans="1:26">
      <c r="A75" s="4" t="s">
        <v>69</v>
      </c>
      <c r="B75" s="4" t="s">
        <v>109</v>
      </c>
      <c r="C75" s="4" t="s">
        <v>70</v>
      </c>
      <c r="D75" s="4" t="s">
        <v>615</v>
      </c>
      <c r="E75" s="4" t="s">
        <v>617</v>
      </c>
      <c r="F75" s="4" t="s">
        <v>618</v>
      </c>
      <c r="G75" s="4" t="s">
        <v>773</v>
      </c>
      <c r="H75" s="4" t="s">
        <v>621</v>
      </c>
      <c r="I75" s="4" t="s">
        <v>620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54" customHeight="1" spans="1:26">
      <c r="A76" s="4" t="s">
        <v>69</v>
      </c>
      <c r="B76" s="4" t="s">
        <v>117</v>
      </c>
      <c r="C76" s="4" t="s">
        <v>70</v>
      </c>
      <c r="D76" s="4" t="s">
        <v>622</v>
      </c>
      <c r="E76" s="4" t="s">
        <v>624</v>
      </c>
      <c r="F76" s="4" t="s">
        <v>625</v>
      </c>
      <c r="G76" s="4" t="s">
        <v>774</v>
      </c>
      <c r="H76" s="4" t="s">
        <v>628</v>
      </c>
      <c r="I76" s="4" t="s">
        <v>627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54" customHeight="1" spans="1:26">
      <c r="A77" s="4" t="s">
        <v>69</v>
      </c>
      <c r="B77" s="4" t="s">
        <v>125</v>
      </c>
      <c r="C77" s="4" t="s">
        <v>70</v>
      </c>
      <c r="D77" s="4" t="s">
        <v>629</v>
      </c>
      <c r="E77" s="4" t="s">
        <v>631</v>
      </c>
      <c r="F77" s="4" t="s">
        <v>632</v>
      </c>
      <c r="G77" s="4" t="s">
        <v>775</v>
      </c>
      <c r="H77" s="4" t="s">
        <v>635</v>
      </c>
      <c r="I77" s="4" t="s">
        <v>634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4" customHeight="1" spans="1:26">
      <c r="A78" s="4" t="s">
        <v>69</v>
      </c>
      <c r="B78" s="4" t="s">
        <v>133</v>
      </c>
      <c r="C78" s="4" t="s">
        <v>70</v>
      </c>
      <c r="D78" s="4" t="s">
        <v>636</v>
      </c>
      <c r="E78" s="4" t="s">
        <v>638</v>
      </c>
      <c r="F78" s="4" t="s">
        <v>639</v>
      </c>
      <c r="G78" s="4" t="s">
        <v>776</v>
      </c>
      <c r="H78" s="4" t="s">
        <v>642</v>
      </c>
      <c r="I78" s="4" t="s">
        <v>641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54" customHeight="1" spans="1:26">
      <c r="A79" s="4" t="s">
        <v>69</v>
      </c>
      <c r="B79" s="4" t="s">
        <v>141</v>
      </c>
      <c r="C79" s="4" t="s">
        <v>70</v>
      </c>
      <c r="D79" s="4" t="s">
        <v>643</v>
      </c>
      <c r="E79" s="4" t="s">
        <v>645</v>
      </c>
      <c r="F79" s="4" t="s">
        <v>646</v>
      </c>
      <c r="G79" s="4" t="s">
        <v>777</v>
      </c>
      <c r="H79" s="4" t="s">
        <v>649</v>
      </c>
      <c r="I79" s="4" t="s">
        <v>648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4" customHeight="1" spans="1:26">
      <c r="A80" s="4" t="s">
        <v>69</v>
      </c>
      <c r="B80" s="4" t="s">
        <v>149</v>
      </c>
      <c r="C80" s="4" t="s">
        <v>70</v>
      </c>
      <c r="D80" s="4" t="s">
        <v>650</v>
      </c>
      <c r="E80" s="4" t="s">
        <v>652</v>
      </c>
      <c r="F80" s="4" t="s">
        <v>653</v>
      </c>
      <c r="G80" s="4" t="s">
        <v>71</v>
      </c>
      <c r="H80" s="4" t="s">
        <v>656</v>
      </c>
      <c r="I80" s="4" t="s">
        <v>655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4" customHeight="1" spans="1:26">
      <c r="A81" s="4" t="s">
        <v>72</v>
      </c>
      <c r="B81" s="4" t="s">
        <v>86</v>
      </c>
      <c r="C81" s="4" t="s">
        <v>73</v>
      </c>
      <c r="D81" s="4" t="s">
        <v>658</v>
      </c>
      <c r="E81" s="4" t="s">
        <v>660</v>
      </c>
      <c r="F81" s="4" t="s">
        <v>661</v>
      </c>
      <c r="G81" s="4" t="s">
        <v>778</v>
      </c>
      <c r="H81" s="4" t="s">
        <v>664</v>
      </c>
      <c r="I81" s="4" t="s">
        <v>663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4" customHeight="1" spans="1:26">
      <c r="A82" s="4" t="s">
        <v>72</v>
      </c>
      <c r="B82" s="4" t="s">
        <v>109</v>
      </c>
      <c r="C82" s="4" t="s">
        <v>73</v>
      </c>
      <c r="D82" s="4" t="s">
        <v>665</v>
      </c>
      <c r="E82" s="4" t="s">
        <v>667</v>
      </c>
      <c r="F82" s="4" t="s">
        <v>668</v>
      </c>
      <c r="G82" s="4" t="s">
        <v>779</v>
      </c>
      <c r="H82" s="4" t="s">
        <v>671</v>
      </c>
      <c r="I82" s="4" t="s">
        <v>670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4" customHeight="1" spans="1:26">
      <c r="A83" s="4" t="s">
        <v>72</v>
      </c>
      <c r="B83" s="4" t="s">
        <v>117</v>
      </c>
      <c r="C83" s="4" t="s">
        <v>73</v>
      </c>
      <c r="D83" s="4" t="s">
        <v>672</v>
      </c>
      <c r="E83" s="4" t="s">
        <v>674</v>
      </c>
      <c r="F83" s="4" t="s">
        <v>675</v>
      </c>
      <c r="G83" s="4" t="s">
        <v>780</v>
      </c>
      <c r="H83" s="4" t="s">
        <v>678</v>
      </c>
      <c r="I83" s="4" t="s">
        <v>677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4" customHeight="1" spans="1:26">
      <c r="A84" s="4" t="s">
        <v>72</v>
      </c>
      <c r="B84" s="4" t="s">
        <v>125</v>
      </c>
      <c r="C84" s="4" t="s">
        <v>73</v>
      </c>
      <c r="D84" s="4" t="s">
        <v>679</v>
      </c>
      <c r="E84" s="4" t="s">
        <v>681</v>
      </c>
      <c r="F84" s="4" t="s">
        <v>682</v>
      </c>
      <c r="G84" s="4" t="s">
        <v>781</v>
      </c>
      <c r="H84" s="4" t="s">
        <v>685</v>
      </c>
      <c r="I84" s="4" t="s">
        <v>684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54" customHeight="1" spans="1:26">
      <c r="A85" s="4" t="s">
        <v>72</v>
      </c>
      <c r="B85" s="4" t="s">
        <v>133</v>
      </c>
      <c r="C85" s="4" t="s">
        <v>73</v>
      </c>
      <c r="D85" s="4" t="s">
        <v>686</v>
      </c>
      <c r="E85" s="4" t="s">
        <v>688</v>
      </c>
      <c r="F85" s="4" t="s">
        <v>689</v>
      </c>
      <c r="G85" s="4" t="s">
        <v>782</v>
      </c>
      <c r="H85" s="4" t="s">
        <v>692</v>
      </c>
      <c r="I85" s="4" t="s">
        <v>691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4" customHeight="1" spans="1:26">
      <c r="A86" s="4" t="s">
        <v>72</v>
      </c>
      <c r="B86" s="4" t="s">
        <v>141</v>
      </c>
      <c r="C86" s="4" t="s">
        <v>73</v>
      </c>
      <c r="D86" s="4" t="s">
        <v>693</v>
      </c>
      <c r="E86" s="4" t="s">
        <v>695</v>
      </c>
      <c r="F86" s="4" t="s">
        <v>696</v>
      </c>
      <c r="G86" s="4" t="s">
        <v>783</v>
      </c>
      <c r="H86" s="4" t="s">
        <v>699</v>
      </c>
      <c r="I86" s="4" t="s">
        <v>698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54" customHeight="1" spans="1:26">
      <c r="A87" s="4" t="s">
        <v>72</v>
      </c>
      <c r="B87" s="4" t="s">
        <v>149</v>
      </c>
      <c r="C87" s="4" t="s">
        <v>73</v>
      </c>
      <c r="D87" s="4" t="s">
        <v>700</v>
      </c>
      <c r="E87" s="4" t="s">
        <v>702</v>
      </c>
      <c r="F87" s="4" t="s">
        <v>703</v>
      </c>
      <c r="G87" s="4" t="s">
        <v>74</v>
      </c>
      <c r="H87" s="4" t="s">
        <v>706</v>
      </c>
      <c r="I87" s="4" t="s">
        <v>705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I1"/>
  </mergeCells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G1"/>
    </sheetView>
  </sheetViews>
  <sheetFormatPr defaultColWidth="9" defaultRowHeight="14.25"/>
  <cols>
    <col min="1" max="2" width="16" customWidth="1"/>
    <col min="3" max="3" width="36" customWidth="1"/>
    <col min="4" max="4" width="42" customWidth="1"/>
    <col min="5" max="5" width="24" customWidth="1"/>
    <col min="6" max="6" width="34" customWidth="1"/>
    <col min="7" max="7" width="42" customWidth="1"/>
  </cols>
  <sheetData>
    <row r="1" ht="30" customHeight="1" spans="1:26">
      <c r="A1" s="1" t="s">
        <v>784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785</v>
      </c>
      <c r="B3" s="3" t="s">
        <v>786</v>
      </c>
      <c r="C3" s="3" t="s">
        <v>787</v>
      </c>
      <c r="D3" s="3" t="s">
        <v>788</v>
      </c>
      <c r="E3" s="3" t="s">
        <v>789</v>
      </c>
      <c r="F3" s="3" t="s">
        <v>790</v>
      </c>
      <c r="G3" s="3" t="s">
        <v>791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" customHeight="1" spans="1:26">
      <c r="A4" s="4" t="s">
        <v>792</v>
      </c>
      <c r="B4" s="4" t="s">
        <v>793</v>
      </c>
      <c r="C4" s="4" t="s">
        <v>794</v>
      </c>
      <c r="D4" s="4" t="s">
        <v>795</v>
      </c>
      <c r="E4" s="4" t="s">
        <v>796</v>
      </c>
      <c r="F4" s="4" t="s">
        <v>797</v>
      </c>
      <c r="G4" s="4" t="s">
        <v>798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2" customHeight="1" spans="1:26">
      <c r="A5" s="4" t="s">
        <v>799</v>
      </c>
      <c r="B5" s="4" t="s">
        <v>800</v>
      </c>
      <c r="C5" s="4" t="s">
        <v>801</v>
      </c>
      <c r="D5" s="4" t="s">
        <v>802</v>
      </c>
      <c r="E5" s="4" t="s">
        <v>803</v>
      </c>
      <c r="F5" s="4" t="s">
        <v>804</v>
      </c>
      <c r="G5" s="4" t="s">
        <v>805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2" customHeight="1" spans="1:26">
      <c r="A6" s="4" t="s">
        <v>806</v>
      </c>
      <c r="B6" s="4" t="s">
        <v>807</v>
      </c>
      <c r="C6" s="4" t="s">
        <v>808</v>
      </c>
      <c r="D6" s="4" t="s">
        <v>809</v>
      </c>
      <c r="E6" s="4" t="s">
        <v>810</v>
      </c>
      <c r="F6" s="4" t="s">
        <v>811</v>
      </c>
      <c r="G6" s="4" t="s">
        <v>812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2" customHeight="1" spans="1:26">
      <c r="A7" s="4" t="s">
        <v>813</v>
      </c>
      <c r="B7" s="4" t="s">
        <v>814</v>
      </c>
      <c r="C7" s="4" t="s">
        <v>815</v>
      </c>
      <c r="D7" s="4" t="s">
        <v>816</v>
      </c>
      <c r="E7" s="4" t="s">
        <v>817</v>
      </c>
      <c r="F7" s="4" t="s">
        <v>818</v>
      </c>
      <c r="G7" s="4" t="s">
        <v>819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2" customHeight="1" spans="1:26">
      <c r="A8" s="4" t="s">
        <v>820</v>
      </c>
      <c r="B8" s="4" t="s">
        <v>821</v>
      </c>
      <c r="C8" s="4" t="s">
        <v>822</v>
      </c>
      <c r="D8" s="4" t="s">
        <v>823</v>
      </c>
      <c r="E8" s="4" t="s">
        <v>824</v>
      </c>
      <c r="F8" s="4" t="s">
        <v>825</v>
      </c>
      <c r="G8" s="4" t="s">
        <v>826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2" customHeight="1" spans="1:26">
      <c r="A9" s="4" t="s">
        <v>827</v>
      </c>
      <c r="B9" s="4" t="s">
        <v>828</v>
      </c>
      <c r="C9" s="4" t="s">
        <v>829</v>
      </c>
      <c r="D9" s="4" t="s">
        <v>830</v>
      </c>
      <c r="E9" s="4" t="s">
        <v>735</v>
      </c>
      <c r="F9" s="4" t="s">
        <v>831</v>
      </c>
      <c r="G9" s="4" t="s">
        <v>832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2" customHeight="1" spans="1:26">
      <c r="A10" s="4" t="s">
        <v>833</v>
      </c>
      <c r="B10" s="4" t="s">
        <v>834</v>
      </c>
      <c r="C10" s="4" t="s">
        <v>835</v>
      </c>
      <c r="D10" s="4" t="s">
        <v>836</v>
      </c>
      <c r="E10" s="4" t="s">
        <v>837</v>
      </c>
      <c r="F10" s="4" t="s">
        <v>838</v>
      </c>
      <c r="G10" s="4" t="s">
        <v>839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2" customHeight="1" spans="1:26">
      <c r="A11" s="4" t="s">
        <v>840</v>
      </c>
      <c r="B11" s="4" t="s">
        <v>841</v>
      </c>
      <c r="C11" s="4" t="s">
        <v>842</v>
      </c>
      <c r="D11" s="4" t="s">
        <v>843</v>
      </c>
      <c r="E11" s="4" t="s">
        <v>844</v>
      </c>
      <c r="F11" s="4" t="s">
        <v>845</v>
      </c>
      <c r="G11" s="4" t="s">
        <v>846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2" customHeight="1" spans="1:26">
      <c r="A12" s="4" t="s">
        <v>847</v>
      </c>
      <c r="B12" s="4" t="s">
        <v>848</v>
      </c>
      <c r="C12" s="4" t="s">
        <v>849</v>
      </c>
      <c r="D12" s="4" t="s">
        <v>850</v>
      </c>
      <c r="E12" s="4" t="s">
        <v>851</v>
      </c>
      <c r="F12" s="4" t="s">
        <v>852</v>
      </c>
      <c r="G12" s="4" t="s">
        <v>853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2" customHeight="1" spans="1:26">
      <c r="A13" s="4" t="s">
        <v>854</v>
      </c>
      <c r="B13" s="4" t="s">
        <v>855</v>
      </c>
      <c r="C13" s="4" t="s">
        <v>856</v>
      </c>
      <c r="D13" s="4" t="s">
        <v>857</v>
      </c>
      <c r="E13" s="4" t="s">
        <v>858</v>
      </c>
      <c r="F13" s="4" t="s">
        <v>859</v>
      </c>
      <c r="G13" s="4" t="s">
        <v>860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2" customHeight="1" spans="1:26">
      <c r="A14" s="4" t="s">
        <v>861</v>
      </c>
      <c r="B14" s="4" t="s">
        <v>862</v>
      </c>
      <c r="C14" s="4" t="s">
        <v>863</v>
      </c>
      <c r="D14" s="4" t="s">
        <v>864</v>
      </c>
      <c r="E14" s="4" t="s">
        <v>865</v>
      </c>
      <c r="F14" s="4" t="s">
        <v>866</v>
      </c>
      <c r="G14" s="4" t="s">
        <v>867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2" customHeight="1" spans="1:26">
      <c r="A15" s="4" t="s">
        <v>868</v>
      </c>
      <c r="B15" s="4" t="s">
        <v>869</v>
      </c>
      <c r="C15" s="4" t="s">
        <v>870</v>
      </c>
      <c r="D15" s="4" t="s">
        <v>871</v>
      </c>
      <c r="E15" s="4" t="s">
        <v>872</v>
      </c>
      <c r="F15" s="4" t="s">
        <v>873</v>
      </c>
      <c r="G15" s="4" t="s">
        <v>874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2" customHeight="1" spans="1:26">
      <c r="A16" s="4" t="s">
        <v>875</v>
      </c>
      <c r="B16" s="4" t="s">
        <v>876</v>
      </c>
      <c r="C16" s="4" t="s">
        <v>877</v>
      </c>
      <c r="D16" s="4" t="s">
        <v>878</v>
      </c>
      <c r="E16" s="4" t="s">
        <v>879</v>
      </c>
      <c r="F16" s="4" t="s">
        <v>880</v>
      </c>
      <c r="G16" s="4" t="s">
        <v>881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F1"/>
    </sheetView>
  </sheetViews>
  <sheetFormatPr defaultColWidth="9" defaultRowHeight="14.25"/>
  <cols>
    <col min="1" max="1" width="16" customWidth="1"/>
    <col min="2" max="2" width="24" customWidth="1"/>
    <col min="3" max="3" width="56" customWidth="1"/>
    <col min="4" max="4" width="40" customWidth="1"/>
    <col min="5" max="5" width="18" customWidth="1"/>
    <col min="6" max="6" width="62" customWidth="1"/>
  </cols>
  <sheetData>
    <row r="1" ht="30" customHeight="1" spans="1:26">
      <c r="A1" s="1" t="s">
        <v>882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883</v>
      </c>
      <c r="B3" s="3" t="s">
        <v>884</v>
      </c>
      <c r="C3" s="3" t="s">
        <v>885</v>
      </c>
      <c r="D3" s="3" t="s">
        <v>886</v>
      </c>
      <c r="E3" s="3" t="s">
        <v>887</v>
      </c>
      <c r="F3" s="3" t="s">
        <v>888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" customHeight="1" spans="1:26">
      <c r="A4" s="4" t="s">
        <v>889</v>
      </c>
      <c r="B4" s="4" t="s">
        <v>890</v>
      </c>
      <c r="C4" s="4" t="s">
        <v>891</v>
      </c>
      <c r="D4" s="4" t="s">
        <v>892</v>
      </c>
      <c r="E4" s="4" t="s">
        <v>893</v>
      </c>
      <c r="F4" s="4" t="s">
        <v>894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8" customHeight="1" spans="1:26">
      <c r="A5" s="4" t="s">
        <v>895</v>
      </c>
      <c r="B5" s="4" t="s">
        <v>896</v>
      </c>
      <c r="C5" s="4" t="s">
        <v>897</v>
      </c>
      <c r="D5" s="4" t="s">
        <v>898</v>
      </c>
      <c r="E5" s="4" t="s">
        <v>38</v>
      </c>
      <c r="F5" s="4" t="s">
        <v>899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8" customHeight="1" spans="1:26">
      <c r="A6" s="4" t="s">
        <v>900</v>
      </c>
      <c r="B6" s="4" t="s">
        <v>901</v>
      </c>
      <c r="C6" s="4" t="s">
        <v>902</v>
      </c>
      <c r="D6" s="4" t="s">
        <v>903</v>
      </c>
      <c r="E6" s="4" t="s">
        <v>45</v>
      </c>
      <c r="F6" s="4" t="s">
        <v>904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8" customHeight="1" spans="1:26">
      <c r="A7" s="4" t="s">
        <v>905</v>
      </c>
      <c r="B7" s="4" t="s">
        <v>906</v>
      </c>
      <c r="C7" s="4" t="s">
        <v>907</v>
      </c>
      <c r="D7" s="4" t="s">
        <v>908</v>
      </c>
      <c r="E7" s="4" t="s">
        <v>909</v>
      </c>
      <c r="F7" s="4" t="s">
        <v>910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8" customHeight="1" spans="1:26">
      <c r="A8" s="4" t="s">
        <v>911</v>
      </c>
      <c r="B8" s="4" t="s">
        <v>912</v>
      </c>
      <c r="C8" s="4" t="s">
        <v>913</v>
      </c>
      <c r="D8" s="4" t="s">
        <v>914</v>
      </c>
      <c r="E8" s="4" t="s">
        <v>60</v>
      </c>
      <c r="F8" s="4" t="s">
        <v>915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8" customHeight="1" spans="1:26">
      <c r="A9" s="4" t="s">
        <v>916</v>
      </c>
      <c r="B9" s="4" t="s">
        <v>917</v>
      </c>
      <c r="C9" s="4" t="s">
        <v>918</v>
      </c>
      <c r="D9" s="4" t="s">
        <v>919</v>
      </c>
      <c r="E9" s="4" t="s">
        <v>920</v>
      </c>
      <c r="F9" s="4" t="s">
        <v>921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8" customHeight="1" spans="1:26">
      <c r="A10" s="4" t="s">
        <v>922</v>
      </c>
      <c r="B10" s="4" t="s">
        <v>923</v>
      </c>
      <c r="C10" s="4" t="s">
        <v>924</v>
      </c>
      <c r="D10" s="4" t="s">
        <v>925</v>
      </c>
      <c r="E10" s="4" t="s">
        <v>920</v>
      </c>
      <c r="F10" s="4" t="s">
        <v>926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8" customHeight="1" spans="1:26">
      <c r="A11" s="4" t="s">
        <v>927</v>
      </c>
      <c r="B11" s="4" t="s">
        <v>928</v>
      </c>
      <c r="C11" s="4" t="s">
        <v>929</v>
      </c>
      <c r="D11" s="4" t="s">
        <v>930</v>
      </c>
      <c r="E11" s="4" t="s">
        <v>931</v>
      </c>
      <c r="F11" s="4" t="s">
        <v>932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8" customHeight="1" spans="1:26">
      <c r="A12" s="4" t="s">
        <v>933</v>
      </c>
      <c r="B12" s="4" t="s">
        <v>934</v>
      </c>
      <c r="C12" s="4" t="s">
        <v>935</v>
      </c>
      <c r="D12" s="4" t="s">
        <v>936</v>
      </c>
      <c r="E12" s="4" t="s">
        <v>937</v>
      </c>
      <c r="F12" s="4" t="s">
        <v>938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8" customHeight="1" spans="1:26">
      <c r="A13" s="4" t="s">
        <v>939</v>
      </c>
      <c r="B13" s="4" t="s">
        <v>940</v>
      </c>
      <c r="C13" s="4" t="s">
        <v>941</v>
      </c>
      <c r="D13" s="4" t="s">
        <v>942</v>
      </c>
      <c r="E13" s="4" t="s">
        <v>943</v>
      </c>
      <c r="F13" s="4" t="s">
        <v>944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E1"/>
    </sheetView>
  </sheetViews>
  <sheetFormatPr defaultColWidth="9" defaultRowHeight="14.25"/>
  <cols>
    <col min="1" max="1" width="8" customWidth="1"/>
    <col min="2" max="2" width="20" customWidth="1"/>
    <col min="3" max="3" width="58" customWidth="1"/>
    <col min="4" max="4" width="36" customWidth="1"/>
    <col min="5" max="5" width="46" customWidth="1"/>
  </cols>
  <sheetData>
    <row r="1" ht="30" customHeight="1" spans="1:26">
      <c r="A1" s="1" t="s">
        <v>945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1</v>
      </c>
      <c r="B3" s="3" t="s">
        <v>946</v>
      </c>
      <c r="C3" s="3" t="s">
        <v>947</v>
      </c>
      <c r="D3" s="3" t="s">
        <v>948</v>
      </c>
      <c r="E3" s="3" t="s">
        <v>949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8" customHeight="1" spans="1:26">
      <c r="A4" s="4" t="s">
        <v>950</v>
      </c>
      <c r="B4" s="4" t="s">
        <v>951</v>
      </c>
      <c r="C4" s="4" t="s">
        <v>952</v>
      </c>
      <c r="D4" s="4" t="s">
        <v>953</v>
      </c>
      <c r="E4" s="4" t="s">
        <v>954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8" customHeight="1" spans="1:26">
      <c r="A5" s="4" t="s">
        <v>955</v>
      </c>
      <c r="B5" s="4" t="s">
        <v>956</v>
      </c>
      <c r="C5" s="4" t="s">
        <v>957</v>
      </c>
      <c r="D5" s="4" t="s">
        <v>958</v>
      </c>
      <c r="E5" s="4" t="s">
        <v>959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8" customHeight="1" spans="1:26">
      <c r="A6" s="4" t="s">
        <v>960</v>
      </c>
      <c r="B6" s="4" t="s">
        <v>961</v>
      </c>
      <c r="C6" s="4" t="s">
        <v>962</v>
      </c>
      <c r="D6" s="4" t="s">
        <v>963</v>
      </c>
      <c r="E6" s="4" t="s">
        <v>964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8" customHeight="1" spans="1:26">
      <c r="A7" s="4" t="s">
        <v>965</v>
      </c>
      <c r="B7" s="4" t="s">
        <v>966</v>
      </c>
      <c r="C7" s="4" t="s">
        <v>967</v>
      </c>
      <c r="D7" s="4" t="s">
        <v>968</v>
      </c>
      <c r="E7" s="4" t="s">
        <v>969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8" customHeight="1" spans="1:26">
      <c r="A8" s="4" t="s">
        <v>970</v>
      </c>
      <c r="B8" s="4" t="s">
        <v>971</v>
      </c>
      <c r="C8" s="4" t="s">
        <v>972</v>
      </c>
      <c r="D8" s="4" t="s">
        <v>973</v>
      </c>
      <c r="E8" s="4" t="s">
        <v>974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8" customHeight="1" spans="1:26">
      <c r="A9" s="4" t="s">
        <v>975</v>
      </c>
      <c r="B9" s="4" t="s">
        <v>976</v>
      </c>
      <c r="C9" s="4" t="s">
        <v>977</v>
      </c>
      <c r="D9" s="4" t="s">
        <v>978</v>
      </c>
      <c r="E9" s="4" t="s">
        <v>979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8" customHeight="1" spans="1:26">
      <c r="A10" s="4" t="s">
        <v>980</v>
      </c>
      <c r="B10" s="4" t="s">
        <v>981</v>
      </c>
      <c r="C10" s="4" t="s">
        <v>982</v>
      </c>
      <c r="D10" s="4" t="s">
        <v>983</v>
      </c>
      <c r="E10" s="4" t="s">
        <v>984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8" customHeight="1" spans="1:26">
      <c r="A11" s="4" t="s">
        <v>985</v>
      </c>
      <c r="B11" s="4" t="s">
        <v>986</v>
      </c>
      <c r="C11" s="4" t="s">
        <v>987</v>
      </c>
      <c r="D11" s="4" t="s">
        <v>988</v>
      </c>
      <c r="E11" s="4" t="s">
        <v>989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8" customHeight="1" spans="1:26">
      <c r="A12" s="4" t="s">
        <v>990</v>
      </c>
      <c r="B12" s="4" t="s">
        <v>991</v>
      </c>
      <c r="C12" s="4" t="s">
        <v>992</v>
      </c>
      <c r="D12" s="4" t="s">
        <v>993</v>
      </c>
      <c r="E12" s="4" t="s">
        <v>994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8" customHeight="1" spans="1:26">
      <c r="A13" s="4" t="s">
        <v>995</v>
      </c>
      <c r="B13" s="4" t="s">
        <v>996</v>
      </c>
      <c r="C13" s="4" t="s">
        <v>997</v>
      </c>
      <c r="D13" s="4" t="s">
        <v>998</v>
      </c>
      <c r="E13" s="4" t="s">
        <v>999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8" customHeight="1" spans="1:26">
      <c r="A14" s="4" t="s">
        <v>1000</v>
      </c>
      <c r="B14" s="4" t="s">
        <v>1001</v>
      </c>
      <c r="C14" s="4" t="s">
        <v>1002</v>
      </c>
      <c r="D14" s="4" t="s">
        <v>1003</v>
      </c>
      <c r="E14" s="4" t="s">
        <v>1004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L1"/>
    </sheetView>
  </sheetViews>
  <sheetFormatPr defaultColWidth="9" defaultRowHeight="14.25"/>
  <cols>
    <col min="1" max="1" width="12" customWidth="1"/>
    <col min="2" max="2" width="20" customWidth="1"/>
    <col min="3" max="3" width="22" customWidth="1"/>
    <col min="4" max="4" width="16" customWidth="1"/>
    <col min="5" max="5" width="24" customWidth="1"/>
    <col min="6" max="6" width="36" customWidth="1"/>
    <col min="7" max="7" width="46" customWidth="1"/>
    <col min="8" max="8" width="34" customWidth="1"/>
    <col min="9" max="9" width="36" customWidth="1"/>
    <col min="10" max="10" width="34" customWidth="1"/>
    <col min="11" max="11" width="12" customWidth="1"/>
    <col min="12" max="12" width="24" customWidth="1"/>
  </cols>
  <sheetData>
    <row r="1" ht="30" customHeight="1" spans="1:26">
      <c r="A1" s="1" t="s">
        <v>1005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1006</v>
      </c>
      <c r="B3" s="3" t="s">
        <v>1007</v>
      </c>
      <c r="C3" s="3" t="s">
        <v>1008</v>
      </c>
      <c r="D3" s="3" t="s">
        <v>1009</v>
      </c>
      <c r="E3" s="3" t="s">
        <v>1010</v>
      </c>
      <c r="F3" s="3" t="s">
        <v>1011</v>
      </c>
      <c r="G3" s="3" t="s">
        <v>1012</v>
      </c>
      <c r="H3" s="3" t="s">
        <v>1013</v>
      </c>
      <c r="I3" s="3" t="s">
        <v>1014</v>
      </c>
      <c r="J3" s="3" t="s">
        <v>1015</v>
      </c>
      <c r="K3" s="3" t="s">
        <v>82</v>
      </c>
      <c r="L3" s="3" t="s">
        <v>37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41</v>
      </c>
      <c r="B4" s="4" t="s">
        <v>1016</v>
      </c>
      <c r="C4" s="4" t="s">
        <v>1017</v>
      </c>
      <c r="D4" s="4" t="s">
        <v>1018</v>
      </c>
      <c r="E4" s="4" t="s">
        <v>1019</v>
      </c>
      <c r="F4" s="4" t="s">
        <v>1020</v>
      </c>
      <c r="G4" s="4" t="s">
        <v>1021</v>
      </c>
      <c r="H4" s="4" t="s">
        <v>1022</v>
      </c>
      <c r="I4" s="4" t="s">
        <v>1023</v>
      </c>
      <c r="J4" s="4" t="s">
        <v>41</v>
      </c>
      <c r="K4" s="4" t="s">
        <v>1024</v>
      </c>
      <c r="L4" s="4" t="s">
        <v>1025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6" customHeight="1" spans="1:26">
      <c r="A5" s="4" t="s">
        <v>41</v>
      </c>
      <c r="B5" s="4" t="s">
        <v>1026</v>
      </c>
      <c r="C5" s="4" t="s">
        <v>1027</v>
      </c>
      <c r="D5" s="4" t="s">
        <v>1028</v>
      </c>
      <c r="E5" s="4" t="s">
        <v>1029</v>
      </c>
      <c r="F5" s="4" t="s">
        <v>1030</v>
      </c>
      <c r="G5" s="4" t="s">
        <v>1031</v>
      </c>
      <c r="H5" s="4" t="s">
        <v>1032</v>
      </c>
      <c r="I5" s="4" t="s">
        <v>1033</v>
      </c>
      <c r="J5" s="4" t="s">
        <v>41</v>
      </c>
      <c r="K5" s="4" t="s">
        <v>1024</v>
      </c>
      <c r="L5" s="4" t="s">
        <v>1025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6" customHeight="1" spans="1:26">
      <c r="A6" s="4" t="s">
        <v>41</v>
      </c>
      <c r="B6" s="4" t="s">
        <v>41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4" t="s">
        <v>41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6" customHeight="1" spans="1:26">
      <c r="A7" s="4" t="s">
        <v>41</v>
      </c>
      <c r="B7" s="4" t="s">
        <v>41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6" customHeight="1" spans="1:26">
      <c r="A8" s="4" t="s">
        <v>41</v>
      </c>
      <c r="B8" s="4" t="s">
        <v>41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6" customHeight="1" spans="1:26">
      <c r="A9" s="4" t="s">
        <v>41</v>
      </c>
      <c r="B9" s="4" t="s">
        <v>41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" customHeight="1" spans="1:26">
      <c r="A10" s="4" t="s">
        <v>41</v>
      </c>
      <c r="B10" s="4" t="s">
        <v>41</v>
      </c>
      <c r="C10" s="4" t="s">
        <v>41</v>
      </c>
      <c r="D10" s="4" t="s">
        <v>41</v>
      </c>
      <c r="E10" s="4" t="s">
        <v>41</v>
      </c>
      <c r="F10" s="4" t="s">
        <v>41</v>
      </c>
      <c r="G10" s="4" t="s">
        <v>41</v>
      </c>
      <c r="H10" s="4" t="s">
        <v>41</v>
      </c>
      <c r="I10" s="4" t="s">
        <v>41</v>
      </c>
      <c r="J10" s="4" t="s">
        <v>41</v>
      </c>
      <c r="K10" s="4" t="s">
        <v>41</v>
      </c>
      <c r="L10" s="4" t="s">
        <v>41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" customHeight="1" spans="1:26">
      <c r="A11" s="4" t="s">
        <v>41</v>
      </c>
      <c r="B11" s="4" t="s">
        <v>41</v>
      </c>
      <c r="C11" s="4" t="s">
        <v>41</v>
      </c>
      <c r="D11" s="4" t="s">
        <v>41</v>
      </c>
      <c r="E11" s="4" t="s">
        <v>41</v>
      </c>
      <c r="F11" s="4" t="s">
        <v>41</v>
      </c>
      <c r="G11" s="4" t="s">
        <v>41</v>
      </c>
      <c r="H11" s="4" t="s">
        <v>41</v>
      </c>
      <c r="I11" s="4" t="s">
        <v>41</v>
      </c>
      <c r="J11" s="4" t="s">
        <v>41</v>
      </c>
      <c r="K11" s="4" t="s">
        <v>41</v>
      </c>
      <c r="L11" s="4" t="s">
        <v>41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6" customHeight="1" spans="1:26">
      <c r="A12" s="4" t="s">
        <v>41</v>
      </c>
      <c r="B12" s="4" t="s">
        <v>41</v>
      </c>
      <c r="C12" s="4" t="s">
        <v>41</v>
      </c>
      <c r="D12" s="4" t="s">
        <v>41</v>
      </c>
      <c r="E12" s="4" t="s">
        <v>41</v>
      </c>
      <c r="F12" s="4" t="s">
        <v>41</v>
      </c>
      <c r="G12" s="4" t="s">
        <v>41</v>
      </c>
      <c r="H12" s="4" t="s">
        <v>41</v>
      </c>
      <c r="I12" s="4" t="s">
        <v>41</v>
      </c>
      <c r="J12" s="4" t="s">
        <v>41</v>
      </c>
      <c r="K12" s="4" t="s">
        <v>41</v>
      </c>
      <c r="L12" s="4" t="s">
        <v>41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" customHeight="1" spans="1:26">
      <c r="A13" s="4" t="s">
        <v>41</v>
      </c>
      <c r="B13" s="4" t="s">
        <v>41</v>
      </c>
      <c r="C13" s="4" t="s">
        <v>41</v>
      </c>
      <c r="D13" s="4" t="s">
        <v>41</v>
      </c>
      <c r="E13" s="4" t="s">
        <v>41</v>
      </c>
      <c r="F13" s="4" t="s">
        <v>41</v>
      </c>
      <c r="G13" s="4" t="s">
        <v>41</v>
      </c>
      <c r="H13" s="4" t="s">
        <v>41</v>
      </c>
      <c r="I13" s="4" t="s">
        <v>41</v>
      </c>
      <c r="J13" s="4" t="s">
        <v>41</v>
      </c>
      <c r="K13" s="4" t="s">
        <v>41</v>
      </c>
      <c r="L13" s="4" t="s">
        <v>41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6" customHeight="1" spans="1:26">
      <c r="A14" s="4" t="s">
        <v>41</v>
      </c>
      <c r="B14" s="4" t="s">
        <v>41</v>
      </c>
      <c r="C14" s="4" t="s">
        <v>41</v>
      </c>
      <c r="D14" s="4" t="s">
        <v>41</v>
      </c>
      <c r="E14" s="4" t="s">
        <v>41</v>
      </c>
      <c r="F14" s="4" t="s">
        <v>41</v>
      </c>
      <c r="G14" s="4" t="s">
        <v>41</v>
      </c>
      <c r="H14" s="4" t="s">
        <v>41</v>
      </c>
      <c r="I14" s="4" t="s">
        <v>41</v>
      </c>
      <c r="J14" s="4" t="s">
        <v>41</v>
      </c>
      <c r="K14" s="4" t="s">
        <v>41</v>
      </c>
      <c r="L14" s="4" t="s">
        <v>41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" customHeight="1" spans="1:26">
      <c r="A15" s="4" t="s">
        <v>41</v>
      </c>
      <c r="B15" s="4" t="s">
        <v>41</v>
      </c>
      <c r="C15" s="4" t="s">
        <v>41</v>
      </c>
      <c r="D15" s="4" t="s">
        <v>41</v>
      </c>
      <c r="E15" s="4" t="s">
        <v>41</v>
      </c>
      <c r="F15" s="4" t="s">
        <v>41</v>
      </c>
      <c r="G15" s="4" t="s">
        <v>41</v>
      </c>
      <c r="H15" s="4" t="s">
        <v>41</v>
      </c>
      <c r="I15" s="4" t="s">
        <v>41</v>
      </c>
      <c r="J15" s="4" t="s">
        <v>41</v>
      </c>
      <c r="K15" s="4" t="s">
        <v>41</v>
      </c>
      <c r="L15" s="4" t="s">
        <v>41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" customHeight="1" spans="1:26">
      <c r="A16" s="4" t="s">
        <v>41</v>
      </c>
      <c r="B16" s="4" t="s">
        <v>41</v>
      </c>
      <c r="C16" s="4" t="s">
        <v>41</v>
      </c>
      <c r="D16" s="4" t="s">
        <v>41</v>
      </c>
      <c r="E16" s="4" t="s">
        <v>41</v>
      </c>
      <c r="F16" s="4" t="s">
        <v>41</v>
      </c>
      <c r="G16" s="4" t="s">
        <v>41</v>
      </c>
      <c r="H16" s="4" t="s">
        <v>41</v>
      </c>
      <c r="I16" s="4" t="s">
        <v>41</v>
      </c>
      <c r="J16" s="4" t="s">
        <v>41</v>
      </c>
      <c r="K16" s="4" t="s">
        <v>41</v>
      </c>
      <c r="L16" s="4" t="s">
        <v>41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6" customHeight="1" spans="1:26">
      <c r="A17" s="4" t="s">
        <v>41</v>
      </c>
      <c r="B17" s="4" t="s">
        <v>41</v>
      </c>
      <c r="C17" s="4" t="s">
        <v>41</v>
      </c>
      <c r="D17" s="4" t="s">
        <v>41</v>
      </c>
      <c r="E17" s="4" t="s">
        <v>41</v>
      </c>
      <c r="F17" s="4" t="s">
        <v>41</v>
      </c>
      <c r="G17" s="4" t="s">
        <v>41</v>
      </c>
      <c r="H17" s="4" t="s">
        <v>41</v>
      </c>
      <c r="I17" s="4" t="s">
        <v>41</v>
      </c>
      <c r="J17" s="4" t="s">
        <v>41</v>
      </c>
      <c r="K17" s="4" t="s">
        <v>41</v>
      </c>
      <c r="L17" s="4" t="s">
        <v>41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6" customHeight="1" spans="1:26">
      <c r="A18" s="4" t="s">
        <v>41</v>
      </c>
      <c r="B18" s="4" t="s">
        <v>41</v>
      </c>
      <c r="C18" s="4" t="s">
        <v>41</v>
      </c>
      <c r="D18" s="4" t="s">
        <v>41</v>
      </c>
      <c r="E18" s="4" t="s">
        <v>41</v>
      </c>
      <c r="F18" s="4" t="s">
        <v>41</v>
      </c>
      <c r="G18" s="4" t="s">
        <v>41</v>
      </c>
      <c r="H18" s="4" t="s">
        <v>41</v>
      </c>
      <c r="I18" s="4" t="s">
        <v>41</v>
      </c>
      <c r="J18" s="4" t="s">
        <v>41</v>
      </c>
      <c r="K18" s="4" t="s">
        <v>41</v>
      </c>
      <c r="L18" s="4" t="s">
        <v>41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6" customHeight="1" spans="1:26">
      <c r="A19" s="4" t="s">
        <v>41</v>
      </c>
      <c r="B19" s="4" t="s">
        <v>41</v>
      </c>
      <c r="C19" s="4" t="s">
        <v>41</v>
      </c>
      <c r="D19" s="4" t="s">
        <v>41</v>
      </c>
      <c r="E19" s="4" t="s">
        <v>41</v>
      </c>
      <c r="F19" s="4" t="s">
        <v>41</v>
      </c>
      <c r="G19" s="4" t="s">
        <v>41</v>
      </c>
      <c r="H19" s="4" t="s">
        <v>41</v>
      </c>
      <c r="I19" s="4" t="s">
        <v>41</v>
      </c>
      <c r="J19" s="4" t="s">
        <v>41</v>
      </c>
      <c r="K19" s="4" t="s">
        <v>41</v>
      </c>
      <c r="L19" s="4" t="s">
        <v>41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6" customHeight="1" spans="1:26">
      <c r="A20" s="4" t="s">
        <v>41</v>
      </c>
      <c r="B20" s="4" t="s">
        <v>41</v>
      </c>
      <c r="C20" s="4" t="s">
        <v>41</v>
      </c>
      <c r="D20" s="4" t="s">
        <v>41</v>
      </c>
      <c r="E20" s="4" t="s">
        <v>41</v>
      </c>
      <c r="F20" s="4" t="s">
        <v>41</v>
      </c>
      <c r="G20" s="4" t="s">
        <v>41</v>
      </c>
      <c r="H20" s="4" t="s">
        <v>41</v>
      </c>
      <c r="I20" s="4" t="s">
        <v>41</v>
      </c>
      <c r="J20" s="4" t="s">
        <v>41</v>
      </c>
      <c r="K20" s="4" t="s">
        <v>41</v>
      </c>
      <c r="L20" s="4" t="s">
        <v>41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6" customHeight="1" spans="1:26">
      <c r="A21" s="4" t="s">
        <v>41</v>
      </c>
      <c r="B21" s="4" t="s">
        <v>41</v>
      </c>
      <c r="C21" s="4" t="s">
        <v>41</v>
      </c>
      <c r="D21" s="4" t="s">
        <v>41</v>
      </c>
      <c r="E21" s="4" t="s">
        <v>41</v>
      </c>
      <c r="F21" s="4" t="s">
        <v>41</v>
      </c>
      <c r="G21" s="4" t="s">
        <v>41</v>
      </c>
      <c r="H21" s="4" t="s">
        <v>41</v>
      </c>
      <c r="I21" s="4" t="s">
        <v>41</v>
      </c>
      <c r="J21" s="4" t="s">
        <v>41</v>
      </c>
      <c r="K21" s="4" t="s">
        <v>41</v>
      </c>
      <c r="L21" s="4" t="s">
        <v>41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6" customHeight="1" spans="1:26">
      <c r="A22" s="4" t="s">
        <v>41</v>
      </c>
      <c r="B22" s="4" t="s">
        <v>41</v>
      </c>
      <c r="C22" s="4" t="s">
        <v>41</v>
      </c>
      <c r="D22" s="4" t="s">
        <v>41</v>
      </c>
      <c r="E22" s="4" t="s">
        <v>41</v>
      </c>
      <c r="F22" s="4" t="s">
        <v>41</v>
      </c>
      <c r="G22" s="4" t="s">
        <v>41</v>
      </c>
      <c r="H22" s="4" t="s">
        <v>41</v>
      </c>
      <c r="I22" s="4" t="s">
        <v>41</v>
      </c>
      <c r="J22" s="4" t="s">
        <v>41</v>
      </c>
      <c r="K22" s="4" t="s">
        <v>41</v>
      </c>
      <c r="L22" s="4" t="s">
        <v>41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6" customHeight="1" spans="1:26">
      <c r="A23" s="4" t="s">
        <v>41</v>
      </c>
      <c r="B23" s="4" t="s">
        <v>41</v>
      </c>
      <c r="C23" s="4" t="s">
        <v>41</v>
      </c>
      <c r="D23" s="4" t="s">
        <v>41</v>
      </c>
      <c r="E23" s="4" t="s">
        <v>41</v>
      </c>
      <c r="F23" s="4" t="s">
        <v>41</v>
      </c>
      <c r="G23" s="4" t="s">
        <v>41</v>
      </c>
      <c r="H23" s="4" t="s">
        <v>41</v>
      </c>
      <c r="I23" s="4" t="s">
        <v>41</v>
      </c>
      <c r="J23" s="4" t="s">
        <v>41</v>
      </c>
      <c r="K23" s="4" t="s">
        <v>41</v>
      </c>
      <c r="L23" s="4" t="s">
        <v>41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6" customHeight="1" spans="1:26">
      <c r="A24" s="4" t="s">
        <v>41</v>
      </c>
      <c r="B24" s="4" t="s">
        <v>41</v>
      </c>
      <c r="C24" s="4" t="s">
        <v>41</v>
      </c>
      <c r="D24" s="4" t="s">
        <v>41</v>
      </c>
      <c r="E24" s="4" t="s">
        <v>41</v>
      </c>
      <c r="F24" s="4" t="s">
        <v>41</v>
      </c>
      <c r="G24" s="4" t="s">
        <v>41</v>
      </c>
      <c r="H24" s="4" t="s">
        <v>41</v>
      </c>
      <c r="I24" s="4" t="s">
        <v>41</v>
      </c>
      <c r="J24" s="4" t="s">
        <v>41</v>
      </c>
      <c r="K24" s="4" t="s">
        <v>41</v>
      </c>
      <c r="L24" s="4" t="s">
        <v>41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6" customHeight="1" spans="1:26">
      <c r="A25" s="4" t="s">
        <v>41</v>
      </c>
      <c r="B25" s="4" t="s">
        <v>41</v>
      </c>
      <c r="C25" s="4" t="s">
        <v>41</v>
      </c>
      <c r="D25" s="4" t="s">
        <v>41</v>
      </c>
      <c r="E25" s="4" t="s">
        <v>41</v>
      </c>
      <c r="F25" s="4" t="s">
        <v>41</v>
      </c>
      <c r="G25" s="4" t="s">
        <v>41</v>
      </c>
      <c r="H25" s="4" t="s">
        <v>41</v>
      </c>
      <c r="I25" s="4" t="s">
        <v>41</v>
      </c>
      <c r="J25" s="4" t="s">
        <v>41</v>
      </c>
      <c r="K25" s="4" t="s">
        <v>41</v>
      </c>
      <c r="L25" s="4" t="s">
        <v>41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6" customHeight="1" spans="1:26">
      <c r="A26" s="4" t="s">
        <v>41</v>
      </c>
      <c r="B26" s="4" t="s">
        <v>41</v>
      </c>
      <c r="C26" s="4" t="s">
        <v>41</v>
      </c>
      <c r="D26" s="4" t="s">
        <v>41</v>
      </c>
      <c r="E26" s="4" t="s">
        <v>41</v>
      </c>
      <c r="F26" s="4" t="s">
        <v>41</v>
      </c>
      <c r="G26" s="4" t="s">
        <v>41</v>
      </c>
      <c r="H26" s="4" t="s">
        <v>41</v>
      </c>
      <c r="I26" s="4" t="s">
        <v>41</v>
      </c>
      <c r="J26" s="4" t="s">
        <v>41</v>
      </c>
      <c r="K26" s="4" t="s">
        <v>41</v>
      </c>
      <c r="L26" s="4" t="s">
        <v>41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6" customHeight="1" spans="1:26">
      <c r="A27" s="4" t="s">
        <v>41</v>
      </c>
      <c r="B27" s="4" t="s">
        <v>41</v>
      </c>
      <c r="C27" s="4" t="s">
        <v>41</v>
      </c>
      <c r="D27" s="4" t="s">
        <v>41</v>
      </c>
      <c r="E27" s="4" t="s">
        <v>41</v>
      </c>
      <c r="F27" s="4" t="s">
        <v>41</v>
      </c>
      <c r="G27" s="4" t="s">
        <v>41</v>
      </c>
      <c r="H27" s="4" t="s">
        <v>41</v>
      </c>
      <c r="I27" s="4" t="s">
        <v>41</v>
      </c>
      <c r="J27" s="4" t="s">
        <v>41</v>
      </c>
      <c r="K27" s="4" t="s">
        <v>41</v>
      </c>
      <c r="L27" s="4" t="s">
        <v>41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6" customHeight="1" spans="1:26">
      <c r="A28" s="4" t="s">
        <v>41</v>
      </c>
      <c r="B28" s="4" t="s">
        <v>41</v>
      </c>
      <c r="C28" s="4" t="s">
        <v>41</v>
      </c>
      <c r="D28" s="4" t="s">
        <v>41</v>
      </c>
      <c r="E28" s="4" t="s">
        <v>41</v>
      </c>
      <c r="F28" s="4" t="s">
        <v>41</v>
      </c>
      <c r="G28" s="4" t="s">
        <v>41</v>
      </c>
      <c r="H28" s="4" t="s">
        <v>41</v>
      </c>
      <c r="I28" s="4" t="s">
        <v>41</v>
      </c>
      <c r="J28" s="4" t="s">
        <v>41</v>
      </c>
      <c r="K28" s="4" t="s">
        <v>41</v>
      </c>
      <c r="L28" s="4" t="s">
        <v>41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6" customHeight="1" spans="1:26">
      <c r="A29" s="4" t="s">
        <v>41</v>
      </c>
      <c r="B29" s="4" t="s">
        <v>41</v>
      </c>
      <c r="C29" s="4" t="s">
        <v>41</v>
      </c>
      <c r="D29" s="4" t="s">
        <v>41</v>
      </c>
      <c r="E29" s="4" t="s">
        <v>41</v>
      </c>
      <c r="F29" s="4" t="s">
        <v>41</v>
      </c>
      <c r="G29" s="4" t="s">
        <v>41</v>
      </c>
      <c r="H29" s="4" t="s">
        <v>41</v>
      </c>
      <c r="I29" s="4" t="s">
        <v>41</v>
      </c>
      <c r="J29" s="4" t="s">
        <v>41</v>
      </c>
      <c r="K29" s="4" t="s">
        <v>41</v>
      </c>
      <c r="L29" s="4" t="s">
        <v>41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" customHeight="1" spans="1:26">
      <c r="A30" s="4" t="s">
        <v>41</v>
      </c>
      <c r="B30" s="4" t="s">
        <v>41</v>
      </c>
      <c r="C30" s="4" t="s">
        <v>41</v>
      </c>
      <c r="D30" s="4" t="s">
        <v>41</v>
      </c>
      <c r="E30" s="4" t="s">
        <v>41</v>
      </c>
      <c r="F30" s="4" t="s">
        <v>41</v>
      </c>
      <c r="G30" s="4" t="s">
        <v>41</v>
      </c>
      <c r="H30" s="4" t="s">
        <v>41</v>
      </c>
      <c r="I30" s="4" t="s">
        <v>41</v>
      </c>
      <c r="J30" s="4" t="s">
        <v>41</v>
      </c>
      <c r="K30" s="4" t="s">
        <v>41</v>
      </c>
      <c r="L30" s="4" t="s">
        <v>41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6" customHeight="1" spans="1:26">
      <c r="A31" s="4" t="s">
        <v>41</v>
      </c>
      <c r="B31" s="4" t="s">
        <v>41</v>
      </c>
      <c r="C31" s="4" t="s">
        <v>41</v>
      </c>
      <c r="D31" s="4" t="s">
        <v>41</v>
      </c>
      <c r="E31" s="4" t="s">
        <v>41</v>
      </c>
      <c r="F31" s="4" t="s">
        <v>41</v>
      </c>
      <c r="G31" s="4" t="s">
        <v>41</v>
      </c>
      <c r="H31" s="4" t="s">
        <v>41</v>
      </c>
      <c r="I31" s="4" t="s">
        <v>41</v>
      </c>
      <c r="J31" s="4" t="s">
        <v>41</v>
      </c>
      <c r="K31" s="4" t="s">
        <v>41</v>
      </c>
      <c r="L31" s="4" t="s">
        <v>41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" customHeight="1" spans="1:26">
      <c r="A32" s="4" t="s">
        <v>41</v>
      </c>
      <c r="B32" s="4" t="s">
        <v>41</v>
      </c>
      <c r="C32" s="4" t="s">
        <v>41</v>
      </c>
      <c r="D32" s="4" t="s">
        <v>41</v>
      </c>
      <c r="E32" s="4" t="s">
        <v>41</v>
      </c>
      <c r="F32" s="4" t="s">
        <v>41</v>
      </c>
      <c r="G32" s="4" t="s">
        <v>41</v>
      </c>
      <c r="H32" s="4" t="s">
        <v>41</v>
      </c>
      <c r="I32" s="4" t="s">
        <v>41</v>
      </c>
      <c r="J32" s="4" t="s">
        <v>41</v>
      </c>
      <c r="K32" s="4" t="s">
        <v>41</v>
      </c>
      <c r="L32" s="4" t="s">
        <v>41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6" customHeight="1" spans="1:26">
      <c r="A33" s="4" t="s">
        <v>41</v>
      </c>
      <c r="B33" s="4" t="s">
        <v>41</v>
      </c>
      <c r="C33" s="4" t="s">
        <v>41</v>
      </c>
      <c r="D33" s="4" t="s">
        <v>41</v>
      </c>
      <c r="E33" s="4" t="s">
        <v>41</v>
      </c>
      <c r="F33" s="4" t="s">
        <v>41</v>
      </c>
      <c r="G33" s="4" t="s">
        <v>41</v>
      </c>
      <c r="H33" s="4" t="s">
        <v>41</v>
      </c>
      <c r="I33" s="4" t="s">
        <v>41</v>
      </c>
      <c r="J33" s="4" t="s">
        <v>41</v>
      </c>
      <c r="K33" s="4" t="s">
        <v>41</v>
      </c>
      <c r="L33" s="4" t="s">
        <v>41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6" customHeight="1" spans="1:26">
      <c r="A34" s="4" t="s">
        <v>41</v>
      </c>
      <c r="B34" s="4" t="s">
        <v>41</v>
      </c>
      <c r="C34" s="4" t="s">
        <v>41</v>
      </c>
      <c r="D34" s="4" t="s">
        <v>41</v>
      </c>
      <c r="E34" s="4" t="s">
        <v>41</v>
      </c>
      <c r="F34" s="4" t="s">
        <v>41</v>
      </c>
      <c r="G34" s="4" t="s">
        <v>41</v>
      </c>
      <c r="H34" s="4" t="s">
        <v>41</v>
      </c>
      <c r="I34" s="4" t="s">
        <v>41</v>
      </c>
      <c r="J34" s="4" t="s">
        <v>41</v>
      </c>
      <c r="K34" s="4" t="s">
        <v>41</v>
      </c>
      <c r="L34" s="4" t="s">
        <v>41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6" customHeight="1" spans="1:26">
      <c r="A35" s="4" t="s">
        <v>41</v>
      </c>
      <c r="B35" s="4" t="s">
        <v>41</v>
      </c>
      <c r="C35" s="4" t="s">
        <v>41</v>
      </c>
      <c r="D35" s="4" t="s">
        <v>41</v>
      </c>
      <c r="E35" s="4" t="s">
        <v>41</v>
      </c>
      <c r="F35" s="4" t="s">
        <v>41</v>
      </c>
      <c r="G35" s="4" t="s">
        <v>41</v>
      </c>
      <c r="H35" s="4" t="s">
        <v>41</v>
      </c>
      <c r="I35" s="4" t="s">
        <v>41</v>
      </c>
      <c r="J35" s="4" t="s">
        <v>41</v>
      </c>
      <c r="K35" s="4" t="s">
        <v>41</v>
      </c>
      <c r="L35" s="4" t="s">
        <v>41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6" customHeight="1" spans="1:26">
      <c r="A36" s="4" t="s">
        <v>41</v>
      </c>
      <c r="B36" s="4" t="s">
        <v>41</v>
      </c>
      <c r="C36" s="4" t="s">
        <v>41</v>
      </c>
      <c r="D36" s="4" t="s">
        <v>41</v>
      </c>
      <c r="E36" s="4" t="s">
        <v>41</v>
      </c>
      <c r="F36" s="4" t="s">
        <v>41</v>
      </c>
      <c r="G36" s="4" t="s">
        <v>41</v>
      </c>
      <c r="H36" s="4" t="s">
        <v>41</v>
      </c>
      <c r="I36" s="4" t="s">
        <v>41</v>
      </c>
      <c r="J36" s="4" t="s">
        <v>41</v>
      </c>
      <c r="K36" s="4" t="s">
        <v>41</v>
      </c>
      <c r="L36" s="4" t="s">
        <v>41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" customHeight="1" spans="1:26">
      <c r="A37" s="4" t="s">
        <v>41</v>
      </c>
      <c r="B37" s="4" t="s">
        <v>41</v>
      </c>
      <c r="C37" s="4" t="s">
        <v>41</v>
      </c>
      <c r="D37" s="4" t="s">
        <v>41</v>
      </c>
      <c r="E37" s="4" t="s">
        <v>41</v>
      </c>
      <c r="F37" s="4" t="s">
        <v>41</v>
      </c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6" customHeight="1" spans="1:26">
      <c r="A38" s="4" t="s">
        <v>41</v>
      </c>
      <c r="B38" s="4" t="s">
        <v>41</v>
      </c>
      <c r="C38" s="4" t="s">
        <v>41</v>
      </c>
      <c r="D38" s="4" t="s">
        <v>41</v>
      </c>
      <c r="E38" s="4" t="s">
        <v>41</v>
      </c>
      <c r="F38" s="4" t="s">
        <v>41</v>
      </c>
      <c r="G38" s="4" t="s">
        <v>41</v>
      </c>
      <c r="H38" s="4" t="s">
        <v>41</v>
      </c>
      <c r="I38" s="4" t="s">
        <v>41</v>
      </c>
      <c r="J38" s="4" t="s">
        <v>41</v>
      </c>
      <c r="K38" s="4" t="s">
        <v>41</v>
      </c>
      <c r="L38" s="4" t="s">
        <v>41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6" customHeight="1" spans="1:26">
      <c r="A39" s="4" t="s">
        <v>41</v>
      </c>
      <c r="B39" s="4" t="s">
        <v>41</v>
      </c>
      <c r="C39" s="4" t="s">
        <v>41</v>
      </c>
      <c r="D39" s="4" t="s">
        <v>41</v>
      </c>
      <c r="E39" s="4" t="s">
        <v>41</v>
      </c>
      <c r="F39" s="4" t="s">
        <v>41</v>
      </c>
      <c r="G39" s="4" t="s">
        <v>41</v>
      </c>
      <c r="H39" s="4" t="s">
        <v>41</v>
      </c>
      <c r="I39" s="4" t="s">
        <v>41</v>
      </c>
      <c r="J39" s="4" t="s">
        <v>41</v>
      </c>
      <c r="K39" s="4" t="s">
        <v>41</v>
      </c>
      <c r="L39" s="4" t="s">
        <v>41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" customHeight="1" spans="1:26">
      <c r="A40" s="4" t="s">
        <v>41</v>
      </c>
      <c r="B40" s="4" t="s">
        <v>41</v>
      </c>
      <c r="C40" s="4" t="s">
        <v>41</v>
      </c>
      <c r="D40" s="4" t="s">
        <v>41</v>
      </c>
      <c r="E40" s="4" t="s">
        <v>41</v>
      </c>
      <c r="F40" s="4" t="s">
        <v>41</v>
      </c>
      <c r="G40" s="4" t="s">
        <v>41</v>
      </c>
      <c r="H40" s="4" t="s">
        <v>41</v>
      </c>
      <c r="I40" s="4" t="s">
        <v>41</v>
      </c>
      <c r="J40" s="4" t="s">
        <v>41</v>
      </c>
      <c r="K40" s="4" t="s">
        <v>41</v>
      </c>
      <c r="L40" s="4" t="s">
        <v>41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" customHeight="1" spans="1:26">
      <c r="A41" s="4" t="s">
        <v>41</v>
      </c>
      <c r="B41" s="4" t="s">
        <v>41</v>
      </c>
      <c r="C41" s="4" t="s">
        <v>41</v>
      </c>
      <c r="D41" s="4" t="s">
        <v>41</v>
      </c>
      <c r="E41" s="4" t="s">
        <v>41</v>
      </c>
      <c r="F41" s="4" t="s">
        <v>41</v>
      </c>
      <c r="G41" s="4" t="s">
        <v>41</v>
      </c>
      <c r="H41" s="4" t="s">
        <v>41</v>
      </c>
      <c r="I41" s="4" t="s">
        <v>41</v>
      </c>
      <c r="J41" s="4" t="s">
        <v>41</v>
      </c>
      <c r="K41" s="4" t="s">
        <v>41</v>
      </c>
      <c r="L41" s="4" t="s">
        <v>41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" customHeight="1" spans="1:26">
      <c r="A42" s="4" t="s">
        <v>41</v>
      </c>
      <c r="B42" s="4" t="s">
        <v>41</v>
      </c>
      <c r="C42" s="4" t="s">
        <v>41</v>
      </c>
      <c r="D42" s="4" t="s">
        <v>41</v>
      </c>
      <c r="E42" s="4" t="s">
        <v>41</v>
      </c>
      <c r="F42" s="4" t="s">
        <v>41</v>
      </c>
      <c r="G42" s="4" t="s">
        <v>41</v>
      </c>
      <c r="H42" s="4" t="s">
        <v>41</v>
      </c>
      <c r="I42" s="4" t="s">
        <v>41</v>
      </c>
      <c r="J42" s="4" t="s">
        <v>41</v>
      </c>
      <c r="K42" s="4" t="s">
        <v>41</v>
      </c>
      <c r="L42" s="4" t="s">
        <v>41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" customHeight="1" spans="1:26">
      <c r="A43" s="4" t="s">
        <v>41</v>
      </c>
      <c r="B43" s="4" t="s">
        <v>41</v>
      </c>
      <c r="C43" s="4" t="s">
        <v>41</v>
      </c>
      <c r="D43" s="4" t="s">
        <v>41</v>
      </c>
      <c r="E43" s="4" t="s">
        <v>41</v>
      </c>
      <c r="F43" s="4" t="s">
        <v>41</v>
      </c>
      <c r="G43" s="4" t="s">
        <v>41</v>
      </c>
      <c r="H43" s="4" t="s">
        <v>41</v>
      </c>
      <c r="I43" s="4" t="s">
        <v>41</v>
      </c>
      <c r="J43" s="4" t="s">
        <v>41</v>
      </c>
      <c r="K43" s="4" t="s">
        <v>41</v>
      </c>
      <c r="L43" s="4" t="s">
        <v>41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6" customHeight="1" spans="1:26">
      <c r="A44" s="4" t="s">
        <v>41</v>
      </c>
      <c r="B44" s="4" t="s">
        <v>41</v>
      </c>
      <c r="C44" s="4" t="s">
        <v>41</v>
      </c>
      <c r="D44" s="4" t="s">
        <v>41</v>
      </c>
      <c r="E44" s="4" t="s">
        <v>41</v>
      </c>
      <c r="F44" s="4" t="s">
        <v>41</v>
      </c>
      <c r="G44" s="4" t="s">
        <v>41</v>
      </c>
      <c r="H44" s="4" t="s">
        <v>41</v>
      </c>
      <c r="I44" s="4" t="s">
        <v>41</v>
      </c>
      <c r="J44" s="4" t="s">
        <v>41</v>
      </c>
      <c r="K44" s="4" t="s">
        <v>41</v>
      </c>
      <c r="L44" s="4" t="s">
        <v>41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" customHeight="1" spans="1:26">
      <c r="A45" s="4" t="s">
        <v>41</v>
      </c>
      <c r="B45" s="4" t="s">
        <v>41</v>
      </c>
      <c r="C45" s="4" t="s">
        <v>41</v>
      </c>
      <c r="D45" s="4" t="s">
        <v>41</v>
      </c>
      <c r="E45" s="4" t="s">
        <v>41</v>
      </c>
      <c r="F45" s="4" t="s">
        <v>41</v>
      </c>
      <c r="G45" s="4" t="s">
        <v>41</v>
      </c>
      <c r="H45" s="4" t="s">
        <v>41</v>
      </c>
      <c r="I45" s="4" t="s">
        <v>41</v>
      </c>
      <c r="J45" s="4" t="s">
        <v>41</v>
      </c>
      <c r="K45" s="4" t="s">
        <v>41</v>
      </c>
      <c r="L45" s="4" t="s">
        <v>41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" customHeight="1" spans="1:26">
      <c r="A46" s="4" t="s">
        <v>41</v>
      </c>
      <c r="B46" s="4" t="s">
        <v>41</v>
      </c>
      <c r="C46" s="4" t="s">
        <v>41</v>
      </c>
      <c r="D46" s="4" t="s">
        <v>41</v>
      </c>
      <c r="E46" s="4" t="s">
        <v>41</v>
      </c>
      <c r="F46" s="4" t="s">
        <v>41</v>
      </c>
      <c r="G46" s="4" t="s">
        <v>41</v>
      </c>
      <c r="H46" s="4" t="s">
        <v>41</v>
      </c>
      <c r="I46" s="4" t="s">
        <v>41</v>
      </c>
      <c r="J46" s="4" t="s">
        <v>41</v>
      </c>
      <c r="K46" s="4" t="s">
        <v>41</v>
      </c>
      <c r="L46" s="4" t="s">
        <v>41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" customHeight="1" spans="1:26">
      <c r="A47" s="4" t="s">
        <v>41</v>
      </c>
      <c r="B47" s="4" t="s">
        <v>41</v>
      </c>
      <c r="C47" s="4" t="s">
        <v>41</v>
      </c>
      <c r="D47" s="4" t="s">
        <v>41</v>
      </c>
      <c r="E47" s="4" t="s">
        <v>41</v>
      </c>
      <c r="F47" s="4" t="s">
        <v>41</v>
      </c>
      <c r="G47" s="4" t="s">
        <v>41</v>
      </c>
      <c r="H47" s="4" t="s">
        <v>41</v>
      </c>
      <c r="I47" s="4" t="s">
        <v>41</v>
      </c>
      <c r="J47" s="4" t="s">
        <v>41</v>
      </c>
      <c r="K47" s="4" t="s">
        <v>41</v>
      </c>
      <c r="L47" s="4" t="s">
        <v>41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" customHeight="1" spans="1:26">
      <c r="A48" s="4" t="s">
        <v>41</v>
      </c>
      <c r="B48" s="4" t="s">
        <v>41</v>
      </c>
      <c r="C48" s="4" t="s">
        <v>41</v>
      </c>
      <c r="D48" s="4" t="s">
        <v>41</v>
      </c>
      <c r="E48" s="4" t="s">
        <v>41</v>
      </c>
      <c r="F48" s="4" t="s">
        <v>41</v>
      </c>
      <c r="G48" s="4" t="s">
        <v>41</v>
      </c>
      <c r="H48" s="4" t="s">
        <v>41</v>
      </c>
      <c r="I48" s="4" t="s">
        <v>41</v>
      </c>
      <c r="J48" s="4" t="s">
        <v>41</v>
      </c>
      <c r="K48" s="4" t="s">
        <v>41</v>
      </c>
      <c r="L48" s="4" t="s">
        <v>41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" customHeight="1" spans="1:26">
      <c r="A49" s="4" t="s">
        <v>41</v>
      </c>
      <c r="B49" s="4" t="s">
        <v>41</v>
      </c>
      <c r="C49" s="4" t="s">
        <v>41</v>
      </c>
      <c r="D49" s="4" t="s">
        <v>41</v>
      </c>
      <c r="E49" s="4" t="s">
        <v>41</v>
      </c>
      <c r="F49" s="4" t="s">
        <v>41</v>
      </c>
      <c r="G49" s="4" t="s">
        <v>41</v>
      </c>
      <c r="H49" s="4" t="s">
        <v>41</v>
      </c>
      <c r="I49" s="4" t="s">
        <v>41</v>
      </c>
      <c r="J49" s="4" t="s">
        <v>41</v>
      </c>
      <c r="K49" s="4" t="s">
        <v>41</v>
      </c>
      <c r="L49" s="4" t="s">
        <v>41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6" customHeight="1" spans="1:26">
      <c r="A50" s="4" t="s">
        <v>41</v>
      </c>
      <c r="B50" s="4" t="s">
        <v>41</v>
      </c>
      <c r="C50" s="4" t="s">
        <v>41</v>
      </c>
      <c r="D50" s="4" t="s">
        <v>41</v>
      </c>
      <c r="E50" s="4" t="s">
        <v>41</v>
      </c>
      <c r="F50" s="4" t="s">
        <v>41</v>
      </c>
      <c r="G50" s="4" t="s">
        <v>41</v>
      </c>
      <c r="H50" s="4" t="s">
        <v>41</v>
      </c>
      <c r="I50" s="4" t="s">
        <v>41</v>
      </c>
      <c r="J50" s="4" t="s">
        <v>41</v>
      </c>
      <c r="K50" s="4" t="s">
        <v>41</v>
      </c>
      <c r="L50" s="4" t="s">
        <v>41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6" customHeight="1" spans="1:26">
      <c r="A51" s="4" t="s">
        <v>41</v>
      </c>
      <c r="B51" s="4" t="s">
        <v>41</v>
      </c>
      <c r="C51" s="4" t="s">
        <v>41</v>
      </c>
      <c r="D51" s="4" t="s">
        <v>41</v>
      </c>
      <c r="E51" s="4" t="s">
        <v>41</v>
      </c>
      <c r="F51" s="4" t="s">
        <v>41</v>
      </c>
      <c r="G51" s="4" t="s">
        <v>41</v>
      </c>
      <c r="H51" s="4" t="s">
        <v>41</v>
      </c>
      <c r="I51" s="4" t="s">
        <v>41</v>
      </c>
      <c r="J51" s="4" t="s">
        <v>41</v>
      </c>
      <c r="K51" s="4" t="s">
        <v>41</v>
      </c>
      <c r="L51" s="4" t="s">
        <v>41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6" customHeight="1" spans="1:26">
      <c r="A52" s="4" t="s">
        <v>41</v>
      </c>
      <c r="B52" s="4" t="s">
        <v>41</v>
      </c>
      <c r="C52" s="4" t="s">
        <v>41</v>
      </c>
      <c r="D52" s="4" t="s">
        <v>41</v>
      </c>
      <c r="E52" s="4" t="s">
        <v>41</v>
      </c>
      <c r="F52" s="4" t="s">
        <v>41</v>
      </c>
      <c r="G52" s="4" t="s">
        <v>41</v>
      </c>
      <c r="H52" s="4" t="s">
        <v>41</v>
      </c>
      <c r="I52" s="4" t="s">
        <v>41</v>
      </c>
      <c r="J52" s="4" t="s">
        <v>41</v>
      </c>
      <c r="K52" s="4" t="s">
        <v>41</v>
      </c>
      <c r="L52" s="4" t="s">
        <v>41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" customHeight="1" spans="1:26">
      <c r="A53" s="4" t="s">
        <v>41</v>
      </c>
      <c r="B53" s="4" t="s">
        <v>41</v>
      </c>
      <c r="C53" s="4" t="s">
        <v>41</v>
      </c>
      <c r="D53" s="4" t="s">
        <v>41</v>
      </c>
      <c r="E53" s="4" t="s">
        <v>41</v>
      </c>
      <c r="F53" s="4" t="s">
        <v>41</v>
      </c>
      <c r="G53" s="4" t="s">
        <v>41</v>
      </c>
      <c r="H53" s="4" t="s">
        <v>41</v>
      </c>
      <c r="I53" s="4" t="s">
        <v>41</v>
      </c>
      <c r="J53" s="4" t="s">
        <v>41</v>
      </c>
      <c r="K53" s="4" t="s">
        <v>41</v>
      </c>
      <c r="L53" s="4" t="s">
        <v>41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6" customHeight="1" spans="1:26">
      <c r="A54" s="4" t="s">
        <v>41</v>
      </c>
      <c r="B54" s="4" t="s">
        <v>41</v>
      </c>
      <c r="C54" s="4" t="s">
        <v>41</v>
      </c>
      <c r="D54" s="4" t="s">
        <v>41</v>
      </c>
      <c r="E54" s="4" t="s">
        <v>41</v>
      </c>
      <c r="F54" s="4" t="s">
        <v>41</v>
      </c>
      <c r="G54" s="4" t="s">
        <v>41</v>
      </c>
      <c r="H54" s="4" t="s">
        <v>41</v>
      </c>
      <c r="I54" s="4" t="s">
        <v>41</v>
      </c>
      <c r="J54" s="4" t="s">
        <v>41</v>
      </c>
      <c r="K54" s="4" t="s">
        <v>41</v>
      </c>
      <c r="L54" s="4" t="s">
        <v>41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" customHeight="1" spans="1:26">
      <c r="A55" s="4" t="s">
        <v>41</v>
      </c>
      <c r="B55" s="4" t="s">
        <v>41</v>
      </c>
      <c r="C55" s="4" t="s">
        <v>41</v>
      </c>
      <c r="D55" s="4" t="s">
        <v>41</v>
      </c>
      <c r="E55" s="4" t="s">
        <v>41</v>
      </c>
      <c r="F55" s="4" t="s">
        <v>41</v>
      </c>
      <c r="G55" s="4" t="s">
        <v>41</v>
      </c>
      <c r="H55" s="4" t="s">
        <v>41</v>
      </c>
      <c r="I55" s="4" t="s">
        <v>41</v>
      </c>
      <c r="J55" s="4" t="s">
        <v>41</v>
      </c>
      <c r="K55" s="4" t="s">
        <v>41</v>
      </c>
      <c r="L55" s="4" t="s">
        <v>41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" customHeight="1" spans="1:26">
      <c r="A56" s="4" t="s">
        <v>41</v>
      </c>
      <c r="B56" s="4" t="s">
        <v>41</v>
      </c>
      <c r="C56" s="4" t="s">
        <v>41</v>
      </c>
      <c r="D56" s="4" t="s">
        <v>41</v>
      </c>
      <c r="E56" s="4" t="s">
        <v>41</v>
      </c>
      <c r="F56" s="4" t="s">
        <v>41</v>
      </c>
      <c r="G56" s="4" t="s">
        <v>41</v>
      </c>
      <c r="H56" s="4" t="s">
        <v>41</v>
      </c>
      <c r="I56" s="4" t="s">
        <v>41</v>
      </c>
      <c r="J56" s="4" t="s">
        <v>41</v>
      </c>
      <c r="K56" s="4" t="s">
        <v>41</v>
      </c>
      <c r="L56" s="4" t="s">
        <v>41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6" customHeight="1" spans="1:26">
      <c r="A57" s="4" t="s">
        <v>41</v>
      </c>
      <c r="B57" s="4" t="s">
        <v>41</v>
      </c>
      <c r="C57" s="4" t="s">
        <v>41</v>
      </c>
      <c r="D57" s="4" t="s">
        <v>41</v>
      </c>
      <c r="E57" s="4" t="s">
        <v>41</v>
      </c>
      <c r="F57" s="4" t="s">
        <v>41</v>
      </c>
      <c r="G57" s="4" t="s">
        <v>41</v>
      </c>
      <c r="H57" s="4" t="s">
        <v>41</v>
      </c>
      <c r="I57" s="4" t="s">
        <v>41</v>
      </c>
      <c r="J57" s="4" t="s">
        <v>41</v>
      </c>
      <c r="K57" s="4" t="s">
        <v>41</v>
      </c>
      <c r="L57" s="4" t="s">
        <v>41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6" customHeight="1" spans="1:26">
      <c r="A58" s="4" t="s">
        <v>41</v>
      </c>
      <c r="B58" s="4" t="s">
        <v>41</v>
      </c>
      <c r="C58" s="4" t="s">
        <v>41</v>
      </c>
      <c r="D58" s="4" t="s">
        <v>41</v>
      </c>
      <c r="E58" s="4" t="s">
        <v>41</v>
      </c>
      <c r="F58" s="4" t="s">
        <v>41</v>
      </c>
      <c r="G58" s="4" t="s">
        <v>41</v>
      </c>
      <c r="H58" s="4" t="s">
        <v>41</v>
      </c>
      <c r="I58" s="4" t="s">
        <v>41</v>
      </c>
      <c r="J58" s="4" t="s">
        <v>41</v>
      </c>
      <c r="K58" s="4" t="s">
        <v>41</v>
      </c>
      <c r="L58" s="4" t="s">
        <v>41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" customHeight="1" spans="1:26">
      <c r="A59" s="4" t="s">
        <v>41</v>
      </c>
      <c r="B59" s="4" t="s">
        <v>41</v>
      </c>
      <c r="C59" s="4" t="s">
        <v>41</v>
      </c>
      <c r="D59" s="4" t="s">
        <v>41</v>
      </c>
      <c r="E59" s="4" t="s">
        <v>41</v>
      </c>
      <c r="F59" s="4" t="s">
        <v>41</v>
      </c>
      <c r="G59" s="4" t="s">
        <v>41</v>
      </c>
      <c r="H59" s="4" t="s">
        <v>41</v>
      </c>
      <c r="I59" s="4" t="s">
        <v>41</v>
      </c>
      <c r="J59" s="4" t="s">
        <v>41</v>
      </c>
      <c r="K59" s="4" t="s">
        <v>41</v>
      </c>
      <c r="L59" s="4" t="s">
        <v>41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6" customHeight="1" spans="1:26">
      <c r="A60" s="4" t="s">
        <v>41</v>
      </c>
      <c r="B60" s="4" t="s">
        <v>41</v>
      </c>
      <c r="C60" s="4" t="s">
        <v>41</v>
      </c>
      <c r="D60" s="4" t="s">
        <v>41</v>
      </c>
      <c r="E60" s="4" t="s">
        <v>41</v>
      </c>
      <c r="F60" s="4" t="s">
        <v>41</v>
      </c>
      <c r="G60" s="4" t="s">
        <v>41</v>
      </c>
      <c r="H60" s="4" t="s">
        <v>41</v>
      </c>
      <c r="I60" s="4" t="s">
        <v>41</v>
      </c>
      <c r="J60" s="4" t="s">
        <v>41</v>
      </c>
      <c r="K60" s="4" t="s">
        <v>41</v>
      </c>
      <c r="L60" s="4" t="s">
        <v>41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" customHeight="1" spans="1:26">
      <c r="A61" s="4" t="s">
        <v>41</v>
      </c>
      <c r="B61" s="4" t="s">
        <v>41</v>
      </c>
      <c r="C61" s="4" t="s">
        <v>41</v>
      </c>
      <c r="D61" s="4" t="s">
        <v>41</v>
      </c>
      <c r="E61" s="4" t="s">
        <v>41</v>
      </c>
      <c r="F61" s="4" t="s">
        <v>41</v>
      </c>
      <c r="G61" s="4" t="s">
        <v>41</v>
      </c>
      <c r="H61" s="4" t="s">
        <v>41</v>
      </c>
      <c r="I61" s="4" t="s">
        <v>41</v>
      </c>
      <c r="J61" s="4" t="s">
        <v>41</v>
      </c>
      <c r="K61" s="4" t="s">
        <v>41</v>
      </c>
      <c r="L61" s="4" t="s">
        <v>41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6" customHeight="1" spans="1:26">
      <c r="A62" s="4" t="s">
        <v>41</v>
      </c>
      <c r="B62" s="4" t="s">
        <v>41</v>
      </c>
      <c r="C62" s="4" t="s">
        <v>41</v>
      </c>
      <c r="D62" s="4" t="s">
        <v>41</v>
      </c>
      <c r="E62" s="4" t="s">
        <v>41</v>
      </c>
      <c r="F62" s="4" t="s">
        <v>41</v>
      </c>
      <c r="G62" s="4" t="s">
        <v>41</v>
      </c>
      <c r="H62" s="4" t="s">
        <v>41</v>
      </c>
      <c r="I62" s="4" t="s">
        <v>41</v>
      </c>
      <c r="J62" s="4" t="s">
        <v>41</v>
      </c>
      <c r="K62" s="4" t="s">
        <v>41</v>
      </c>
      <c r="L62" s="4" t="s">
        <v>41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6" customHeight="1" spans="1:26">
      <c r="A63" s="4" t="s">
        <v>41</v>
      </c>
      <c r="B63" s="4" t="s">
        <v>41</v>
      </c>
      <c r="C63" s="4" t="s">
        <v>41</v>
      </c>
      <c r="D63" s="4" t="s">
        <v>41</v>
      </c>
      <c r="E63" s="4" t="s">
        <v>41</v>
      </c>
      <c r="F63" s="4" t="s">
        <v>41</v>
      </c>
      <c r="G63" s="4" t="s">
        <v>41</v>
      </c>
      <c r="H63" s="4" t="s">
        <v>41</v>
      </c>
      <c r="I63" s="4" t="s">
        <v>41</v>
      </c>
      <c r="J63" s="4" t="s">
        <v>41</v>
      </c>
      <c r="K63" s="4" t="s">
        <v>41</v>
      </c>
      <c r="L63" s="4" t="s">
        <v>41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6" customHeight="1" spans="1:26">
      <c r="A64" s="4" t="s">
        <v>41</v>
      </c>
      <c r="B64" s="4" t="s">
        <v>41</v>
      </c>
      <c r="C64" s="4" t="s">
        <v>41</v>
      </c>
      <c r="D64" s="4" t="s">
        <v>41</v>
      </c>
      <c r="E64" s="4" t="s">
        <v>41</v>
      </c>
      <c r="F64" s="4" t="s">
        <v>41</v>
      </c>
      <c r="G64" s="4" t="s">
        <v>41</v>
      </c>
      <c r="H64" s="4" t="s">
        <v>41</v>
      </c>
      <c r="I64" s="4" t="s">
        <v>41</v>
      </c>
      <c r="J64" s="4" t="s">
        <v>41</v>
      </c>
      <c r="K64" s="4" t="s">
        <v>41</v>
      </c>
      <c r="L64" s="4" t="s">
        <v>41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6" customHeight="1" spans="1:26">
      <c r="A65" s="4" t="s">
        <v>41</v>
      </c>
      <c r="B65" s="4" t="s">
        <v>41</v>
      </c>
      <c r="C65" s="4" t="s">
        <v>41</v>
      </c>
      <c r="D65" s="4" t="s">
        <v>41</v>
      </c>
      <c r="E65" s="4" t="s">
        <v>41</v>
      </c>
      <c r="F65" s="4" t="s">
        <v>41</v>
      </c>
      <c r="G65" s="4" t="s">
        <v>41</v>
      </c>
      <c r="H65" s="4" t="s">
        <v>41</v>
      </c>
      <c r="I65" s="4" t="s">
        <v>41</v>
      </c>
      <c r="J65" s="4" t="s">
        <v>41</v>
      </c>
      <c r="K65" s="4" t="s">
        <v>41</v>
      </c>
      <c r="L65" s="4" t="s">
        <v>41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6" customHeight="1" spans="1:26">
      <c r="A66" s="4" t="s">
        <v>41</v>
      </c>
      <c r="B66" s="4" t="s">
        <v>41</v>
      </c>
      <c r="C66" s="4" t="s">
        <v>41</v>
      </c>
      <c r="D66" s="4" t="s">
        <v>41</v>
      </c>
      <c r="E66" s="4" t="s">
        <v>41</v>
      </c>
      <c r="F66" s="4" t="s">
        <v>41</v>
      </c>
      <c r="G66" s="4" t="s">
        <v>41</v>
      </c>
      <c r="H66" s="4" t="s">
        <v>41</v>
      </c>
      <c r="I66" s="4" t="s">
        <v>41</v>
      </c>
      <c r="J66" s="4" t="s">
        <v>41</v>
      </c>
      <c r="K66" s="4" t="s">
        <v>41</v>
      </c>
      <c r="L66" s="4" t="s">
        <v>41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" customHeight="1" spans="1:26">
      <c r="A67" s="4" t="s">
        <v>41</v>
      </c>
      <c r="B67" s="4" t="s">
        <v>41</v>
      </c>
      <c r="C67" s="4" t="s">
        <v>41</v>
      </c>
      <c r="D67" s="4" t="s">
        <v>41</v>
      </c>
      <c r="E67" s="4" t="s">
        <v>41</v>
      </c>
      <c r="F67" s="4" t="s">
        <v>41</v>
      </c>
      <c r="G67" s="4" t="s">
        <v>41</v>
      </c>
      <c r="H67" s="4" t="s">
        <v>41</v>
      </c>
      <c r="I67" s="4" t="s">
        <v>41</v>
      </c>
      <c r="J67" s="4" t="s">
        <v>41</v>
      </c>
      <c r="K67" s="4" t="s">
        <v>41</v>
      </c>
      <c r="L67" s="4" t="s">
        <v>41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6" customHeight="1" spans="1:26">
      <c r="A68" s="4" t="s">
        <v>41</v>
      </c>
      <c r="B68" s="4" t="s">
        <v>41</v>
      </c>
      <c r="C68" s="4" t="s">
        <v>41</v>
      </c>
      <c r="D68" s="4" t="s">
        <v>41</v>
      </c>
      <c r="E68" s="4" t="s">
        <v>41</v>
      </c>
      <c r="F68" s="4" t="s">
        <v>41</v>
      </c>
      <c r="G68" s="4" t="s">
        <v>41</v>
      </c>
      <c r="H68" s="4" t="s">
        <v>41</v>
      </c>
      <c r="I68" s="4" t="s">
        <v>41</v>
      </c>
      <c r="J68" s="4" t="s">
        <v>41</v>
      </c>
      <c r="K68" s="4" t="s">
        <v>41</v>
      </c>
      <c r="L68" s="4" t="s">
        <v>41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6" customHeight="1" spans="1:26">
      <c r="A69" s="4" t="s">
        <v>41</v>
      </c>
      <c r="B69" s="4" t="s">
        <v>41</v>
      </c>
      <c r="C69" s="4" t="s">
        <v>41</v>
      </c>
      <c r="D69" s="4" t="s">
        <v>41</v>
      </c>
      <c r="E69" s="4" t="s">
        <v>41</v>
      </c>
      <c r="F69" s="4" t="s">
        <v>41</v>
      </c>
      <c r="G69" s="4" t="s">
        <v>41</v>
      </c>
      <c r="H69" s="4" t="s">
        <v>41</v>
      </c>
      <c r="I69" s="4" t="s">
        <v>41</v>
      </c>
      <c r="J69" s="4" t="s">
        <v>41</v>
      </c>
      <c r="K69" s="4" t="s">
        <v>41</v>
      </c>
      <c r="L69" s="4" t="s">
        <v>41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" customHeight="1" spans="1:26">
      <c r="A70" s="4" t="s">
        <v>41</v>
      </c>
      <c r="B70" s="4" t="s">
        <v>41</v>
      </c>
      <c r="C70" s="4" t="s">
        <v>41</v>
      </c>
      <c r="D70" s="4" t="s">
        <v>41</v>
      </c>
      <c r="E70" s="4" t="s">
        <v>41</v>
      </c>
      <c r="F70" s="4" t="s">
        <v>41</v>
      </c>
      <c r="G70" s="4" t="s">
        <v>41</v>
      </c>
      <c r="H70" s="4" t="s">
        <v>41</v>
      </c>
      <c r="I70" s="4" t="s">
        <v>41</v>
      </c>
      <c r="J70" s="4" t="s">
        <v>41</v>
      </c>
      <c r="K70" s="4" t="s">
        <v>41</v>
      </c>
      <c r="L70" s="4" t="s">
        <v>41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6" customHeight="1" spans="1:26">
      <c r="A71" s="4" t="s">
        <v>41</v>
      </c>
      <c r="B71" s="4" t="s">
        <v>41</v>
      </c>
      <c r="C71" s="4" t="s">
        <v>41</v>
      </c>
      <c r="D71" s="4" t="s">
        <v>41</v>
      </c>
      <c r="E71" s="4" t="s">
        <v>41</v>
      </c>
      <c r="F71" s="4" t="s">
        <v>41</v>
      </c>
      <c r="G71" s="4" t="s">
        <v>41</v>
      </c>
      <c r="H71" s="4" t="s">
        <v>41</v>
      </c>
      <c r="I71" s="4" t="s">
        <v>41</v>
      </c>
      <c r="J71" s="4" t="s">
        <v>41</v>
      </c>
      <c r="K71" s="4" t="s">
        <v>41</v>
      </c>
      <c r="L71" s="4" t="s">
        <v>41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6" customHeight="1" spans="1:26">
      <c r="A72" s="4" t="s">
        <v>41</v>
      </c>
      <c r="B72" s="4" t="s">
        <v>41</v>
      </c>
      <c r="C72" s="4" t="s">
        <v>41</v>
      </c>
      <c r="D72" s="4" t="s">
        <v>41</v>
      </c>
      <c r="E72" s="4" t="s">
        <v>41</v>
      </c>
      <c r="F72" s="4" t="s">
        <v>41</v>
      </c>
      <c r="G72" s="4" t="s">
        <v>41</v>
      </c>
      <c r="H72" s="4" t="s">
        <v>41</v>
      </c>
      <c r="I72" s="4" t="s">
        <v>41</v>
      </c>
      <c r="J72" s="4" t="s">
        <v>41</v>
      </c>
      <c r="K72" s="4" t="s">
        <v>41</v>
      </c>
      <c r="L72" s="4" t="s">
        <v>41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6" customHeight="1" spans="1:26">
      <c r="A73" s="4" t="s">
        <v>41</v>
      </c>
      <c r="B73" s="4" t="s">
        <v>41</v>
      </c>
      <c r="C73" s="4" t="s">
        <v>41</v>
      </c>
      <c r="D73" s="4" t="s">
        <v>41</v>
      </c>
      <c r="E73" s="4" t="s">
        <v>41</v>
      </c>
      <c r="F73" s="4" t="s">
        <v>41</v>
      </c>
      <c r="G73" s="4" t="s">
        <v>41</v>
      </c>
      <c r="H73" s="4" t="s">
        <v>41</v>
      </c>
      <c r="I73" s="4" t="s">
        <v>41</v>
      </c>
      <c r="J73" s="4" t="s">
        <v>41</v>
      </c>
      <c r="K73" s="4" t="s">
        <v>41</v>
      </c>
      <c r="L73" s="4" t="s">
        <v>41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" customHeight="1" spans="1:26">
      <c r="A74" s="4" t="s">
        <v>41</v>
      </c>
      <c r="B74" s="4" t="s">
        <v>41</v>
      </c>
      <c r="C74" s="4" t="s">
        <v>41</v>
      </c>
      <c r="D74" s="4" t="s">
        <v>41</v>
      </c>
      <c r="E74" s="4" t="s">
        <v>41</v>
      </c>
      <c r="F74" s="4" t="s">
        <v>41</v>
      </c>
      <c r="G74" s="4" t="s">
        <v>41</v>
      </c>
      <c r="H74" s="4" t="s">
        <v>41</v>
      </c>
      <c r="I74" s="4" t="s">
        <v>41</v>
      </c>
      <c r="J74" s="4" t="s">
        <v>41</v>
      </c>
      <c r="K74" s="4" t="s">
        <v>41</v>
      </c>
      <c r="L74" s="4" t="s">
        <v>41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6" customHeight="1" spans="1:26">
      <c r="A75" s="4" t="s">
        <v>41</v>
      </c>
      <c r="B75" s="4" t="s">
        <v>41</v>
      </c>
      <c r="C75" s="4" t="s">
        <v>41</v>
      </c>
      <c r="D75" s="4" t="s">
        <v>41</v>
      </c>
      <c r="E75" s="4" t="s">
        <v>41</v>
      </c>
      <c r="F75" s="4" t="s">
        <v>41</v>
      </c>
      <c r="G75" s="4" t="s">
        <v>41</v>
      </c>
      <c r="H75" s="4" t="s">
        <v>41</v>
      </c>
      <c r="I75" s="4" t="s">
        <v>41</v>
      </c>
      <c r="J75" s="4" t="s">
        <v>41</v>
      </c>
      <c r="K75" s="4" t="s">
        <v>41</v>
      </c>
      <c r="L75" s="4" t="s">
        <v>41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6" customHeight="1" spans="1:26">
      <c r="A76" s="4" t="s">
        <v>41</v>
      </c>
      <c r="B76" s="4" t="s">
        <v>41</v>
      </c>
      <c r="C76" s="4" t="s">
        <v>41</v>
      </c>
      <c r="D76" s="4" t="s">
        <v>41</v>
      </c>
      <c r="E76" s="4" t="s">
        <v>41</v>
      </c>
      <c r="F76" s="4" t="s">
        <v>41</v>
      </c>
      <c r="G76" s="4" t="s">
        <v>41</v>
      </c>
      <c r="H76" s="4" t="s">
        <v>41</v>
      </c>
      <c r="I76" s="4" t="s">
        <v>41</v>
      </c>
      <c r="J76" s="4" t="s">
        <v>41</v>
      </c>
      <c r="K76" s="4" t="s">
        <v>41</v>
      </c>
      <c r="L76" s="4" t="s">
        <v>41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" customHeight="1" spans="1:26">
      <c r="A77" s="4" t="s">
        <v>41</v>
      </c>
      <c r="B77" s="4" t="s">
        <v>41</v>
      </c>
      <c r="C77" s="4" t="s">
        <v>41</v>
      </c>
      <c r="D77" s="4" t="s">
        <v>41</v>
      </c>
      <c r="E77" s="4" t="s">
        <v>41</v>
      </c>
      <c r="F77" s="4" t="s">
        <v>41</v>
      </c>
      <c r="G77" s="4" t="s">
        <v>41</v>
      </c>
      <c r="H77" s="4" t="s">
        <v>41</v>
      </c>
      <c r="I77" s="4" t="s">
        <v>41</v>
      </c>
      <c r="J77" s="4" t="s">
        <v>41</v>
      </c>
      <c r="K77" s="4" t="s">
        <v>41</v>
      </c>
      <c r="L77" s="4" t="s">
        <v>41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" customHeight="1" spans="1:26">
      <c r="A78" s="4" t="s">
        <v>41</v>
      </c>
      <c r="B78" s="4" t="s">
        <v>41</v>
      </c>
      <c r="C78" s="4" t="s">
        <v>41</v>
      </c>
      <c r="D78" s="4" t="s">
        <v>41</v>
      </c>
      <c r="E78" s="4" t="s">
        <v>41</v>
      </c>
      <c r="F78" s="4" t="s">
        <v>41</v>
      </c>
      <c r="G78" s="4" t="s">
        <v>41</v>
      </c>
      <c r="H78" s="4" t="s">
        <v>41</v>
      </c>
      <c r="I78" s="4" t="s">
        <v>41</v>
      </c>
      <c r="J78" s="4" t="s">
        <v>41</v>
      </c>
      <c r="K78" s="4" t="s">
        <v>41</v>
      </c>
      <c r="L78" s="4" t="s">
        <v>41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" customHeight="1" spans="1:26">
      <c r="A79" s="4" t="s">
        <v>41</v>
      </c>
      <c r="B79" s="4" t="s">
        <v>41</v>
      </c>
      <c r="C79" s="4" t="s">
        <v>41</v>
      </c>
      <c r="D79" s="4" t="s">
        <v>41</v>
      </c>
      <c r="E79" s="4" t="s">
        <v>41</v>
      </c>
      <c r="F79" s="4" t="s">
        <v>41</v>
      </c>
      <c r="G79" s="4" t="s">
        <v>41</v>
      </c>
      <c r="H79" s="4" t="s">
        <v>41</v>
      </c>
      <c r="I79" s="4" t="s">
        <v>41</v>
      </c>
      <c r="J79" s="4" t="s">
        <v>41</v>
      </c>
      <c r="K79" s="4" t="s">
        <v>41</v>
      </c>
      <c r="L79" s="4" t="s">
        <v>41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6" customHeight="1" spans="1:26">
      <c r="A80" s="4" t="s">
        <v>41</v>
      </c>
      <c r="B80" s="4" t="s">
        <v>41</v>
      </c>
      <c r="C80" s="4" t="s">
        <v>41</v>
      </c>
      <c r="D80" s="4" t="s">
        <v>41</v>
      </c>
      <c r="E80" s="4" t="s">
        <v>41</v>
      </c>
      <c r="F80" s="4" t="s">
        <v>41</v>
      </c>
      <c r="G80" s="4" t="s">
        <v>41</v>
      </c>
      <c r="H80" s="4" t="s">
        <v>41</v>
      </c>
      <c r="I80" s="4" t="s">
        <v>41</v>
      </c>
      <c r="J80" s="4" t="s">
        <v>41</v>
      </c>
      <c r="K80" s="4" t="s">
        <v>41</v>
      </c>
      <c r="L80" s="4" t="s">
        <v>41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" customHeight="1" spans="1:26">
      <c r="A81" s="4" t="s">
        <v>41</v>
      </c>
      <c r="B81" s="4" t="s">
        <v>41</v>
      </c>
      <c r="C81" s="4" t="s">
        <v>41</v>
      </c>
      <c r="D81" s="4" t="s">
        <v>41</v>
      </c>
      <c r="E81" s="4" t="s">
        <v>41</v>
      </c>
      <c r="F81" s="4" t="s">
        <v>41</v>
      </c>
      <c r="G81" s="4" t="s">
        <v>41</v>
      </c>
      <c r="H81" s="4" t="s">
        <v>41</v>
      </c>
      <c r="I81" s="4" t="s">
        <v>41</v>
      </c>
      <c r="J81" s="4" t="s">
        <v>41</v>
      </c>
      <c r="K81" s="4" t="s">
        <v>41</v>
      </c>
      <c r="L81" s="4" t="s">
        <v>41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6" customHeight="1" spans="1:26">
      <c r="A82" s="4" t="s">
        <v>41</v>
      </c>
      <c r="B82" s="4" t="s">
        <v>41</v>
      </c>
      <c r="C82" s="4" t="s">
        <v>41</v>
      </c>
      <c r="D82" s="4" t="s">
        <v>41</v>
      </c>
      <c r="E82" s="4" t="s">
        <v>41</v>
      </c>
      <c r="F82" s="4" t="s">
        <v>41</v>
      </c>
      <c r="G82" s="4" t="s">
        <v>41</v>
      </c>
      <c r="H82" s="4" t="s">
        <v>41</v>
      </c>
      <c r="I82" s="4" t="s">
        <v>41</v>
      </c>
      <c r="J82" s="4" t="s">
        <v>41</v>
      </c>
      <c r="K82" s="4" t="s">
        <v>41</v>
      </c>
      <c r="L82" s="4" t="s">
        <v>41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6" customHeight="1" spans="1:26">
      <c r="A83" s="4" t="s">
        <v>41</v>
      </c>
      <c r="B83" s="4" t="s">
        <v>41</v>
      </c>
      <c r="C83" s="4" t="s">
        <v>41</v>
      </c>
      <c r="D83" s="4" t="s">
        <v>41</v>
      </c>
      <c r="E83" s="4" t="s">
        <v>41</v>
      </c>
      <c r="F83" s="4" t="s">
        <v>41</v>
      </c>
      <c r="G83" s="4" t="s">
        <v>41</v>
      </c>
      <c r="H83" s="4" t="s">
        <v>41</v>
      </c>
      <c r="I83" s="4" t="s">
        <v>41</v>
      </c>
      <c r="J83" s="4" t="s">
        <v>41</v>
      </c>
      <c r="K83" s="4" t="s">
        <v>41</v>
      </c>
      <c r="L83" s="4" t="s">
        <v>41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" customHeight="1" spans="1:26">
      <c r="A84" s="4" t="s">
        <v>41</v>
      </c>
      <c r="B84" s="4" t="s">
        <v>41</v>
      </c>
      <c r="C84" s="4" t="s">
        <v>41</v>
      </c>
      <c r="D84" s="4" t="s">
        <v>41</v>
      </c>
      <c r="E84" s="4" t="s">
        <v>41</v>
      </c>
      <c r="F84" s="4" t="s">
        <v>41</v>
      </c>
      <c r="G84" s="4" t="s">
        <v>41</v>
      </c>
      <c r="H84" s="4" t="s">
        <v>41</v>
      </c>
      <c r="I84" s="4" t="s">
        <v>41</v>
      </c>
      <c r="J84" s="4" t="s">
        <v>41</v>
      </c>
      <c r="K84" s="4" t="s">
        <v>41</v>
      </c>
      <c r="L84" s="4" t="s">
        <v>41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6" customHeight="1" spans="1:26">
      <c r="A85" s="4" t="s">
        <v>41</v>
      </c>
      <c r="B85" s="4" t="s">
        <v>41</v>
      </c>
      <c r="C85" s="4" t="s">
        <v>41</v>
      </c>
      <c r="D85" s="4" t="s">
        <v>41</v>
      </c>
      <c r="E85" s="4" t="s">
        <v>41</v>
      </c>
      <c r="F85" s="4" t="s">
        <v>41</v>
      </c>
      <c r="G85" s="4" t="s">
        <v>41</v>
      </c>
      <c r="H85" s="4" t="s">
        <v>41</v>
      </c>
      <c r="I85" s="4" t="s">
        <v>41</v>
      </c>
      <c r="J85" s="4" t="s">
        <v>41</v>
      </c>
      <c r="K85" s="4" t="s">
        <v>41</v>
      </c>
      <c r="L85" s="4" t="s">
        <v>41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L1"/>
  </mergeCells>
  <conditionalFormatting sqref="K4:K85">
    <cfRule type="expression" dxfId="1" priority="1">
      <formula>K4="已完成"</formula>
    </cfRule>
    <cfRule type="expression" dxfId="2" priority="2">
      <formula>K4="卡住"</formula>
    </cfRule>
    <cfRule type="expression" dxfId="3" priority="3">
      <formula>K4="进行中"</formula>
    </cfRule>
  </conditionalFormatting>
  <dataValidations count="1">
    <dataValidation type="list" sqref="K4:K85">
      <formula1>"新发现,收藏,准备投,已投,沟通中,面试中,暂不合适"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K1"/>
    </sheetView>
  </sheetViews>
  <sheetFormatPr defaultColWidth="9" defaultRowHeight="14.25"/>
  <cols>
    <col min="1" max="1" width="22" customWidth="1"/>
    <col min="2" max="2" width="12" customWidth="1"/>
    <col min="3" max="3" width="30" customWidth="1"/>
    <col min="4" max="4" width="36" customWidth="1"/>
    <col min="5" max="5" width="34" customWidth="1"/>
    <col min="6" max="6" width="16" customWidth="1"/>
    <col min="7" max="7" width="28" customWidth="1"/>
    <col min="8" max="10" width="30" customWidth="1"/>
    <col min="11" max="11" width="20" customWidth="1"/>
  </cols>
  <sheetData>
    <row r="1" ht="30" customHeight="1" spans="1:26">
      <c r="A1" s="1" t="s">
        <v>1034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1007</v>
      </c>
      <c r="B3" s="3" t="s">
        <v>1035</v>
      </c>
      <c r="C3" s="3" t="s">
        <v>1036</v>
      </c>
      <c r="D3" s="3" t="s">
        <v>1037</v>
      </c>
      <c r="E3" s="3" t="s">
        <v>1038</v>
      </c>
      <c r="F3" s="3" t="s">
        <v>1039</v>
      </c>
      <c r="G3" s="3" t="s">
        <v>1040</v>
      </c>
      <c r="H3" s="3" t="s">
        <v>1041</v>
      </c>
      <c r="I3" s="3" t="s">
        <v>1042</v>
      </c>
      <c r="J3" s="3" t="s">
        <v>1043</v>
      </c>
      <c r="K3" s="3" t="s">
        <v>37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0" customHeight="1" spans="1:26">
      <c r="A4" s="4" t="s">
        <v>1044</v>
      </c>
      <c r="B4" s="4" t="s">
        <v>1045</v>
      </c>
      <c r="C4" s="4" t="s">
        <v>1046</v>
      </c>
      <c r="D4" s="4" t="s">
        <v>1047</v>
      </c>
      <c r="E4" s="4" t="s">
        <v>41</v>
      </c>
      <c r="F4" s="4" t="s">
        <v>1048</v>
      </c>
      <c r="G4" s="4" t="s">
        <v>1049</v>
      </c>
      <c r="H4" s="4" t="s">
        <v>1050</v>
      </c>
      <c r="I4" s="4" t="s">
        <v>1051</v>
      </c>
      <c r="J4" s="4" t="s">
        <v>1052</v>
      </c>
      <c r="K4" s="4" t="s">
        <v>1025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0" customHeight="1" spans="1:26">
      <c r="A5" s="4" t="s">
        <v>1053</v>
      </c>
      <c r="B5" s="4" t="s">
        <v>1054</v>
      </c>
      <c r="C5" s="4" t="s">
        <v>1055</v>
      </c>
      <c r="D5" s="4" t="s">
        <v>1030</v>
      </c>
      <c r="E5" s="4" t="s">
        <v>41</v>
      </c>
      <c r="F5" s="4" t="s">
        <v>1048</v>
      </c>
      <c r="G5" s="4" t="s">
        <v>1056</v>
      </c>
      <c r="H5" s="4" t="s">
        <v>1057</v>
      </c>
      <c r="I5" s="4" t="s">
        <v>1058</v>
      </c>
      <c r="J5" s="4" t="s">
        <v>1059</v>
      </c>
      <c r="K5" s="4" t="s">
        <v>1025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0" customHeight="1" spans="1:26">
      <c r="A6" s="4" t="s">
        <v>41</v>
      </c>
      <c r="B6" s="4" t="s">
        <v>41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0" customHeight="1" spans="1:26">
      <c r="A7" s="4" t="s">
        <v>41</v>
      </c>
      <c r="B7" s="4" t="s">
        <v>41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0" customHeight="1" spans="1:26">
      <c r="A8" s="4" t="s">
        <v>41</v>
      </c>
      <c r="B8" s="4" t="s">
        <v>41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0" customHeight="1" spans="1:26">
      <c r="A9" s="4" t="s">
        <v>41</v>
      </c>
      <c r="B9" s="4" t="s">
        <v>41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0" customHeight="1" spans="1:26">
      <c r="A10" s="4" t="s">
        <v>41</v>
      </c>
      <c r="B10" s="4" t="s">
        <v>41</v>
      </c>
      <c r="C10" s="4" t="s">
        <v>41</v>
      </c>
      <c r="D10" s="4" t="s">
        <v>41</v>
      </c>
      <c r="E10" s="4" t="s">
        <v>41</v>
      </c>
      <c r="F10" s="4" t="s">
        <v>41</v>
      </c>
      <c r="G10" s="4" t="s">
        <v>41</v>
      </c>
      <c r="H10" s="4" t="s">
        <v>41</v>
      </c>
      <c r="I10" s="4" t="s">
        <v>41</v>
      </c>
      <c r="J10" s="4" t="s">
        <v>41</v>
      </c>
      <c r="K10" s="4" t="s">
        <v>41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0" customHeight="1" spans="1:26">
      <c r="A11" s="4" t="s">
        <v>41</v>
      </c>
      <c r="B11" s="4" t="s">
        <v>41</v>
      </c>
      <c r="C11" s="4" t="s">
        <v>41</v>
      </c>
      <c r="D11" s="4" t="s">
        <v>41</v>
      </c>
      <c r="E11" s="4" t="s">
        <v>41</v>
      </c>
      <c r="F11" s="4" t="s">
        <v>41</v>
      </c>
      <c r="G11" s="4" t="s">
        <v>41</v>
      </c>
      <c r="H11" s="4" t="s">
        <v>41</v>
      </c>
      <c r="I11" s="4" t="s">
        <v>41</v>
      </c>
      <c r="J11" s="4" t="s">
        <v>41</v>
      </c>
      <c r="K11" s="4" t="s">
        <v>41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0" customHeight="1" spans="1:26">
      <c r="A12" s="4" t="s">
        <v>41</v>
      </c>
      <c r="B12" s="4" t="s">
        <v>41</v>
      </c>
      <c r="C12" s="4" t="s">
        <v>41</v>
      </c>
      <c r="D12" s="4" t="s">
        <v>41</v>
      </c>
      <c r="E12" s="4" t="s">
        <v>41</v>
      </c>
      <c r="F12" s="4" t="s">
        <v>41</v>
      </c>
      <c r="G12" s="4" t="s">
        <v>41</v>
      </c>
      <c r="H12" s="4" t="s">
        <v>41</v>
      </c>
      <c r="I12" s="4" t="s">
        <v>41</v>
      </c>
      <c r="J12" s="4" t="s">
        <v>41</v>
      </c>
      <c r="K12" s="4" t="s">
        <v>41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0" customHeight="1" spans="1:26">
      <c r="A13" s="4" t="s">
        <v>41</v>
      </c>
      <c r="B13" s="4" t="s">
        <v>41</v>
      </c>
      <c r="C13" s="4" t="s">
        <v>41</v>
      </c>
      <c r="D13" s="4" t="s">
        <v>41</v>
      </c>
      <c r="E13" s="4" t="s">
        <v>41</v>
      </c>
      <c r="F13" s="4" t="s">
        <v>41</v>
      </c>
      <c r="G13" s="4" t="s">
        <v>41</v>
      </c>
      <c r="H13" s="4" t="s">
        <v>41</v>
      </c>
      <c r="I13" s="4" t="s">
        <v>41</v>
      </c>
      <c r="J13" s="4" t="s">
        <v>41</v>
      </c>
      <c r="K13" s="4" t="s">
        <v>41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0" customHeight="1" spans="1:26">
      <c r="A14" s="4" t="s">
        <v>41</v>
      </c>
      <c r="B14" s="4" t="s">
        <v>41</v>
      </c>
      <c r="C14" s="4" t="s">
        <v>41</v>
      </c>
      <c r="D14" s="4" t="s">
        <v>41</v>
      </c>
      <c r="E14" s="4" t="s">
        <v>41</v>
      </c>
      <c r="F14" s="4" t="s">
        <v>41</v>
      </c>
      <c r="G14" s="4" t="s">
        <v>41</v>
      </c>
      <c r="H14" s="4" t="s">
        <v>41</v>
      </c>
      <c r="I14" s="4" t="s">
        <v>41</v>
      </c>
      <c r="J14" s="4" t="s">
        <v>41</v>
      </c>
      <c r="K14" s="4" t="s">
        <v>41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0" customHeight="1" spans="1:26">
      <c r="A15" s="4" t="s">
        <v>41</v>
      </c>
      <c r="B15" s="4" t="s">
        <v>41</v>
      </c>
      <c r="C15" s="4" t="s">
        <v>41</v>
      </c>
      <c r="D15" s="4" t="s">
        <v>41</v>
      </c>
      <c r="E15" s="4" t="s">
        <v>41</v>
      </c>
      <c r="F15" s="4" t="s">
        <v>41</v>
      </c>
      <c r="G15" s="4" t="s">
        <v>41</v>
      </c>
      <c r="H15" s="4" t="s">
        <v>41</v>
      </c>
      <c r="I15" s="4" t="s">
        <v>41</v>
      </c>
      <c r="J15" s="4" t="s">
        <v>41</v>
      </c>
      <c r="K15" s="4" t="s">
        <v>41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0" customHeight="1" spans="1:26">
      <c r="A16" s="4" t="s">
        <v>41</v>
      </c>
      <c r="B16" s="4" t="s">
        <v>41</v>
      </c>
      <c r="C16" s="4" t="s">
        <v>41</v>
      </c>
      <c r="D16" s="4" t="s">
        <v>41</v>
      </c>
      <c r="E16" s="4" t="s">
        <v>41</v>
      </c>
      <c r="F16" s="4" t="s">
        <v>41</v>
      </c>
      <c r="G16" s="4" t="s">
        <v>41</v>
      </c>
      <c r="H16" s="4" t="s">
        <v>41</v>
      </c>
      <c r="I16" s="4" t="s">
        <v>41</v>
      </c>
      <c r="J16" s="4" t="s">
        <v>41</v>
      </c>
      <c r="K16" s="4" t="s">
        <v>41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0" customHeight="1" spans="1:26">
      <c r="A17" s="4" t="s">
        <v>41</v>
      </c>
      <c r="B17" s="4" t="s">
        <v>41</v>
      </c>
      <c r="C17" s="4" t="s">
        <v>41</v>
      </c>
      <c r="D17" s="4" t="s">
        <v>41</v>
      </c>
      <c r="E17" s="4" t="s">
        <v>41</v>
      </c>
      <c r="F17" s="4" t="s">
        <v>41</v>
      </c>
      <c r="G17" s="4" t="s">
        <v>41</v>
      </c>
      <c r="H17" s="4" t="s">
        <v>41</v>
      </c>
      <c r="I17" s="4" t="s">
        <v>41</v>
      </c>
      <c r="J17" s="4" t="s">
        <v>41</v>
      </c>
      <c r="K17" s="4" t="s">
        <v>41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0" customHeight="1" spans="1:26">
      <c r="A18" s="4" t="s">
        <v>41</v>
      </c>
      <c r="B18" s="4" t="s">
        <v>41</v>
      </c>
      <c r="C18" s="4" t="s">
        <v>41</v>
      </c>
      <c r="D18" s="4" t="s">
        <v>41</v>
      </c>
      <c r="E18" s="4" t="s">
        <v>41</v>
      </c>
      <c r="F18" s="4" t="s">
        <v>41</v>
      </c>
      <c r="G18" s="4" t="s">
        <v>41</v>
      </c>
      <c r="H18" s="4" t="s">
        <v>41</v>
      </c>
      <c r="I18" s="4" t="s">
        <v>41</v>
      </c>
      <c r="J18" s="4" t="s">
        <v>41</v>
      </c>
      <c r="K18" s="4" t="s">
        <v>41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" customHeight="1" spans="1:26">
      <c r="A19" s="4" t="s">
        <v>41</v>
      </c>
      <c r="B19" s="4" t="s">
        <v>41</v>
      </c>
      <c r="C19" s="4" t="s">
        <v>41</v>
      </c>
      <c r="D19" s="4" t="s">
        <v>41</v>
      </c>
      <c r="E19" s="4" t="s">
        <v>41</v>
      </c>
      <c r="F19" s="4" t="s">
        <v>41</v>
      </c>
      <c r="G19" s="4" t="s">
        <v>41</v>
      </c>
      <c r="H19" s="4" t="s">
        <v>41</v>
      </c>
      <c r="I19" s="4" t="s">
        <v>41</v>
      </c>
      <c r="J19" s="4" t="s">
        <v>41</v>
      </c>
      <c r="K19" s="4" t="s">
        <v>41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0" customHeight="1" spans="1:26">
      <c r="A20" s="4" t="s">
        <v>41</v>
      </c>
      <c r="B20" s="4" t="s">
        <v>41</v>
      </c>
      <c r="C20" s="4" t="s">
        <v>41</v>
      </c>
      <c r="D20" s="4" t="s">
        <v>41</v>
      </c>
      <c r="E20" s="4" t="s">
        <v>41</v>
      </c>
      <c r="F20" s="4" t="s">
        <v>41</v>
      </c>
      <c r="G20" s="4" t="s">
        <v>41</v>
      </c>
      <c r="H20" s="4" t="s">
        <v>41</v>
      </c>
      <c r="I20" s="4" t="s">
        <v>41</v>
      </c>
      <c r="J20" s="4" t="s">
        <v>41</v>
      </c>
      <c r="K20" s="4" t="s">
        <v>41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0" customHeight="1" spans="1:26">
      <c r="A21" s="4" t="s">
        <v>41</v>
      </c>
      <c r="B21" s="4" t="s">
        <v>41</v>
      </c>
      <c r="C21" s="4" t="s">
        <v>41</v>
      </c>
      <c r="D21" s="4" t="s">
        <v>41</v>
      </c>
      <c r="E21" s="4" t="s">
        <v>41</v>
      </c>
      <c r="F21" s="4" t="s">
        <v>41</v>
      </c>
      <c r="G21" s="4" t="s">
        <v>41</v>
      </c>
      <c r="H21" s="4" t="s">
        <v>41</v>
      </c>
      <c r="I21" s="4" t="s">
        <v>41</v>
      </c>
      <c r="J21" s="4" t="s">
        <v>41</v>
      </c>
      <c r="K21" s="4" t="s">
        <v>41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0" customHeight="1" spans="1:26">
      <c r="A22" s="4" t="s">
        <v>41</v>
      </c>
      <c r="B22" s="4" t="s">
        <v>41</v>
      </c>
      <c r="C22" s="4" t="s">
        <v>41</v>
      </c>
      <c r="D22" s="4" t="s">
        <v>41</v>
      </c>
      <c r="E22" s="4" t="s">
        <v>41</v>
      </c>
      <c r="F22" s="4" t="s">
        <v>41</v>
      </c>
      <c r="G22" s="4" t="s">
        <v>41</v>
      </c>
      <c r="H22" s="4" t="s">
        <v>41</v>
      </c>
      <c r="I22" s="4" t="s">
        <v>41</v>
      </c>
      <c r="J22" s="4" t="s">
        <v>41</v>
      </c>
      <c r="K22" s="4" t="s">
        <v>41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0" customHeight="1" spans="1:26">
      <c r="A23" s="4" t="s">
        <v>41</v>
      </c>
      <c r="B23" s="4" t="s">
        <v>41</v>
      </c>
      <c r="C23" s="4" t="s">
        <v>41</v>
      </c>
      <c r="D23" s="4" t="s">
        <v>41</v>
      </c>
      <c r="E23" s="4" t="s">
        <v>41</v>
      </c>
      <c r="F23" s="4" t="s">
        <v>41</v>
      </c>
      <c r="G23" s="4" t="s">
        <v>41</v>
      </c>
      <c r="H23" s="4" t="s">
        <v>41</v>
      </c>
      <c r="I23" s="4" t="s">
        <v>41</v>
      </c>
      <c r="J23" s="4" t="s">
        <v>41</v>
      </c>
      <c r="K23" s="4" t="s">
        <v>41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0" customHeight="1" spans="1:26">
      <c r="A24" s="4" t="s">
        <v>41</v>
      </c>
      <c r="B24" s="4" t="s">
        <v>41</v>
      </c>
      <c r="C24" s="4" t="s">
        <v>41</v>
      </c>
      <c r="D24" s="4" t="s">
        <v>41</v>
      </c>
      <c r="E24" s="4" t="s">
        <v>41</v>
      </c>
      <c r="F24" s="4" t="s">
        <v>41</v>
      </c>
      <c r="G24" s="4" t="s">
        <v>41</v>
      </c>
      <c r="H24" s="4" t="s">
        <v>41</v>
      </c>
      <c r="I24" s="4" t="s">
        <v>41</v>
      </c>
      <c r="J24" s="4" t="s">
        <v>41</v>
      </c>
      <c r="K24" s="4" t="s">
        <v>41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0" customHeight="1" spans="1:26">
      <c r="A25" s="4" t="s">
        <v>41</v>
      </c>
      <c r="B25" s="4" t="s">
        <v>41</v>
      </c>
      <c r="C25" s="4" t="s">
        <v>41</v>
      </c>
      <c r="D25" s="4" t="s">
        <v>41</v>
      </c>
      <c r="E25" s="4" t="s">
        <v>41</v>
      </c>
      <c r="F25" s="4" t="s">
        <v>41</v>
      </c>
      <c r="G25" s="4" t="s">
        <v>41</v>
      </c>
      <c r="H25" s="4" t="s">
        <v>41</v>
      </c>
      <c r="I25" s="4" t="s">
        <v>41</v>
      </c>
      <c r="J25" s="4" t="s">
        <v>41</v>
      </c>
      <c r="K25" s="4" t="s">
        <v>41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0" customHeight="1" spans="1:26">
      <c r="A26" s="4" t="s">
        <v>41</v>
      </c>
      <c r="B26" s="4" t="s">
        <v>41</v>
      </c>
      <c r="C26" s="4" t="s">
        <v>41</v>
      </c>
      <c r="D26" s="4" t="s">
        <v>41</v>
      </c>
      <c r="E26" s="4" t="s">
        <v>41</v>
      </c>
      <c r="F26" s="4" t="s">
        <v>41</v>
      </c>
      <c r="G26" s="4" t="s">
        <v>41</v>
      </c>
      <c r="H26" s="4" t="s">
        <v>41</v>
      </c>
      <c r="I26" s="4" t="s">
        <v>41</v>
      </c>
      <c r="J26" s="4" t="s">
        <v>41</v>
      </c>
      <c r="K26" s="4" t="s">
        <v>41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0" customHeight="1" spans="1:26">
      <c r="A27" s="4" t="s">
        <v>41</v>
      </c>
      <c r="B27" s="4" t="s">
        <v>41</v>
      </c>
      <c r="C27" s="4" t="s">
        <v>41</v>
      </c>
      <c r="D27" s="4" t="s">
        <v>41</v>
      </c>
      <c r="E27" s="4" t="s">
        <v>41</v>
      </c>
      <c r="F27" s="4" t="s">
        <v>41</v>
      </c>
      <c r="G27" s="4" t="s">
        <v>41</v>
      </c>
      <c r="H27" s="4" t="s">
        <v>41</v>
      </c>
      <c r="I27" s="4" t="s">
        <v>41</v>
      </c>
      <c r="J27" s="4" t="s">
        <v>41</v>
      </c>
      <c r="K27" s="4" t="s">
        <v>41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0" customHeight="1" spans="1:26">
      <c r="A28" s="4" t="s">
        <v>41</v>
      </c>
      <c r="B28" s="4" t="s">
        <v>41</v>
      </c>
      <c r="C28" s="4" t="s">
        <v>41</v>
      </c>
      <c r="D28" s="4" t="s">
        <v>41</v>
      </c>
      <c r="E28" s="4" t="s">
        <v>41</v>
      </c>
      <c r="F28" s="4" t="s">
        <v>41</v>
      </c>
      <c r="G28" s="4" t="s">
        <v>41</v>
      </c>
      <c r="H28" s="4" t="s">
        <v>41</v>
      </c>
      <c r="I28" s="4" t="s">
        <v>41</v>
      </c>
      <c r="J28" s="4" t="s">
        <v>41</v>
      </c>
      <c r="K28" s="4" t="s">
        <v>41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0" customHeight="1" spans="1:26">
      <c r="A29" s="4" t="s">
        <v>41</v>
      </c>
      <c r="B29" s="4" t="s">
        <v>41</v>
      </c>
      <c r="C29" s="4" t="s">
        <v>41</v>
      </c>
      <c r="D29" s="4" t="s">
        <v>41</v>
      </c>
      <c r="E29" s="4" t="s">
        <v>41</v>
      </c>
      <c r="F29" s="4" t="s">
        <v>41</v>
      </c>
      <c r="G29" s="4" t="s">
        <v>41</v>
      </c>
      <c r="H29" s="4" t="s">
        <v>41</v>
      </c>
      <c r="I29" s="4" t="s">
        <v>41</v>
      </c>
      <c r="J29" s="4" t="s">
        <v>41</v>
      </c>
      <c r="K29" s="4" t="s">
        <v>41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0" customHeight="1" spans="1:26">
      <c r="A30" s="4" t="s">
        <v>41</v>
      </c>
      <c r="B30" s="4" t="s">
        <v>41</v>
      </c>
      <c r="C30" s="4" t="s">
        <v>41</v>
      </c>
      <c r="D30" s="4" t="s">
        <v>41</v>
      </c>
      <c r="E30" s="4" t="s">
        <v>41</v>
      </c>
      <c r="F30" s="4" t="s">
        <v>41</v>
      </c>
      <c r="G30" s="4" t="s">
        <v>41</v>
      </c>
      <c r="H30" s="4" t="s">
        <v>41</v>
      </c>
      <c r="I30" s="4" t="s">
        <v>41</v>
      </c>
      <c r="J30" s="4" t="s">
        <v>41</v>
      </c>
      <c r="K30" s="4" t="s">
        <v>41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0" customHeight="1" spans="1:26">
      <c r="A31" s="4" t="s">
        <v>41</v>
      </c>
      <c r="B31" s="4" t="s">
        <v>41</v>
      </c>
      <c r="C31" s="4" t="s">
        <v>41</v>
      </c>
      <c r="D31" s="4" t="s">
        <v>41</v>
      </c>
      <c r="E31" s="4" t="s">
        <v>41</v>
      </c>
      <c r="F31" s="4" t="s">
        <v>41</v>
      </c>
      <c r="G31" s="4" t="s">
        <v>41</v>
      </c>
      <c r="H31" s="4" t="s">
        <v>41</v>
      </c>
      <c r="I31" s="4" t="s">
        <v>41</v>
      </c>
      <c r="J31" s="4" t="s">
        <v>41</v>
      </c>
      <c r="K31" s="4" t="s">
        <v>41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0" customHeight="1" spans="1:26">
      <c r="A32" s="4" t="s">
        <v>41</v>
      </c>
      <c r="B32" s="4" t="s">
        <v>41</v>
      </c>
      <c r="C32" s="4" t="s">
        <v>41</v>
      </c>
      <c r="D32" s="4" t="s">
        <v>41</v>
      </c>
      <c r="E32" s="4" t="s">
        <v>41</v>
      </c>
      <c r="F32" s="4" t="s">
        <v>41</v>
      </c>
      <c r="G32" s="4" t="s">
        <v>41</v>
      </c>
      <c r="H32" s="4" t="s">
        <v>41</v>
      </c>
      <c r="I32" s="4" t="s">
        <v>41</v>
      </c>
      <c r="J32" s="4" t="s">
        <v>41</v>
      </c>
      <c r="K32" s="4" t="s">
        <v>41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0" customHeight="1" spans="1:26">
      <c r="A33" s="4" t="s">
        <v>41</v>
      </c>
      <c r="B33" s="4" t="s">
        <v>41</v>
      </c>
      <c r="C33" s="4" t="s">
        <v>41</v>
      </c>
      <c r="D33" s="4" t="s">
        <v>41</v>
      </c>
      <c r="E33" s="4" t="s">
        <v>41</v>
      </c>
      <c r="F33" s="4" t="s">
        <v>41</v>
      </c>
      <c r="G33" s="4" t="s">
        <v>41</v>
      </c>
      <c r="H33" s="4" t="s">
        <v>41</v>
      </c>
      <c r="I33" s="4" t="s">
        <v>41</v>
      </c>
      <c r="J33" s="4" t="s">
        <v>41</v>
      </c>
      <c r="K33" s="4" t="s">
        <v>41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0" customHeight="1" spans="1:26">
      <c r="A34" s="4" t="s">
        <v>41</v>
      </c>
      <c r="B34" s="4" t="s">
        <v>41</v>
      </c>
      <c r="C34" s="4" t="s">
        <v>41</v>
      </c>
      <c r="D34" s="4" t="s">
        <v>41</v>
      </c>
      <c r="E34" s="4" t="s">
        <v>41</v>
      </c>
      <c r="F34" s="4" t="s">
        <v>41</v>
      </c>
      <c r="G34" s="4" t="s">
        <v>41</v>
      </c>
      <c r="H34" s="4" t="s">
        <v>41</v>
      </c>
      <c r="I34" s="4" t="s">
        <v>41</v>
      </c>
      <c r="J34" s="4" t="s">
        <v>41</v>
      </c>
      <c r="K34" s="4" t="s">
        <v>41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0" customHeight="1" spans="1:26">
      <c r="A35" s="4" t="s">
        <v>41</v>
      </c>
      <c r="B35" s="4" t="s">
        <v>41</v>
      </c>
      <c r="C35" s="4" t="s">
        <v>41</v>
      </c>
      <c r="D35" s="4" t="s">
        <v>41</v>
      </c>
      <c r="E35" s="4" t="s">
        <v>41</v>
      </c>
      <c r="F35" s="4" t="s">
        <v>41</v>
      </c>
      <c r="G35" s="4" t="s">
        <v>41</v>
      </c>
      <c r="H35" s="4" t="s">
        <v>41</v>
      </c>
      <c r="I35" s="4" t="s">
        <v>41</v>
      </c>
      <c r="J35" s="4" t="s">
        <v>41</v>
      </c>
      <c r="K35" s="4" t="s">
        <v>41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0" customHeight="1" spans="1:26">
      <c r="A36" s="4" t="s">
        <v>41</v>
      </c>
      <c r="B36" s="4" t="s">
        <v>41</v>
      </c>
      <c r="C36" s="4" t="s">
        <v>41</v>
      </c>
      <c r="D36" s="4" t="s">
        <v>41</v>
      </c>
      <c r="E36" s="4" t="s">
        <v>41</v>
      </c>
      <c r="F36" s="4" t="s">
        <v>41</v>
      </c>
      <c r="G36" s="4" t="s">
        <v>41</v>
      </c>
      <c r="H36" s="4" t="s">
        <v>41</v>
      </c>
      <c r="I36" s="4" t="s">
        <v>41</v>
      </c>
      <c r="J36" s="4" t="s">
        <v>41</v>
      </c>
      <c r="K36" s="4" t="s">
        <v>41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0" customHeight="1" spans="1:26">
      <c r="A37" s="4" t="s">
        <v>41</v>
      </c>
      <c r="B37" s="4" t="s">
        <v>41</v>
      </c>
      <c r="C37" s="4" t="s">
        <v>41</v>
      </c>
      <c r="D37" s="4" t="s">
        <v>41</v>
      </c>
      <c r="E37" s="4" t="s">
        <v>41</v>
      </c>
      <c r="F37" s="4" t="s">
        <v>41</v>
      </c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0" customHeight="1" spans="1:26">
      <c r="A38" s="4" t="s">
        <v>41</v>
      </c>
      <c r="B38" s="4" t="s">
        <v>41</v>
      </c>
      <c r="C38" s="4" t="s">
        <v>41</v>
      </c>
      <c r="D38" s="4" t="s">
        <v>41</v>
      </c>
      <c r="E38" s="4" t="s">
        <v>41</v>
      </c>
      <c r="F38" s="4" t="s">
        <v>41</v>
      </c>
      <c r="G38" s="4" t="s">
        <v>41</v>
      </c>
      <c r="H38" s="4" t="s">
        <v>41</v>
      </c>
      <c r="I38" s="4" t="s">
        <v>41</v>
      </c>
      <c r="J38" s="4" t="s">
        <v>41</v>
      </c>
      <c r="K38" s="4" t="s">
        <v>41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0" customHeight="1" spans="1:26">
      <c r="A39" s="4" t="s">
        <v>41</v>
      </c>
      <c r="B39" s="4" t="s">
        <v>41</v>
      </c>
      <c r="C39" s="4" t="s">
        <v>41</v>
      </c>
      <c r="D39" s="4" t="s">
        <v>41</v>
      </c>
      <c r="E39" s="4" t="s">
        <v>41</v>
      </c>
      <c r="F39" s="4" t="s">
        <v>41</v>
      </c>
      <c r="G39" s="4" t="s">
        <v>41</v>
      </c>
      <c r="H39" s="4" t="s">
        <v>41</v>
      </c>
      <c r="I39" s="4" t="s">
        <v>41</v>
      </c>
      <c r="J39" s="4" t="s">
        <v>41</v>
      </c>
      <c r="K39" s="4" t="s">
        <v>41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0" customHeight="1" spans="1:26">
      <c r="A40" s="4" t="s">
        <v>41</v>
      </c>
      <c r="B40" s="4" t="s">
        <v>41</v>
      </c>
      <c r="C40" s="4" t="s">
        <v>41</v>
      </c>
      <c r="D40" s="4" t="s">
        <v>41</v>
      </c>
      <c r="E40" s="4" t="s">
        <v>41</v>
      </c>
      <c r="F40" s="4" t="s">
        <v>41</v>
      </c>
      <c r="G40" s="4" t="s">
        <v>41</v>
      </c>
      <c r="H40" s="4" t="s">
        <v>41</v>
      </c>
      <c r="I40" s="4" t="s">
        <v>41</v>
      </c>
      <c r="J40" s="4" t="s">
        <v>41</v>
      </c>
      <c r="K40" s="4" t="s">
        <v>41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0" customHeight="1" spans="1:26">
      <c r="A41" s="4" t="s">
        <v>41</v>
      </c>
      <c r="B41" s="4" t="s">
        <v>41</v>
      </c>
      <c r="C41" s="4" t="s">
        <v>41</v>
      </c>
      <c r="D41" s="4" t="s">
        <v>41</v>
      </c>
      <c r="E41" s="4" t="s">
        <v>41</v>
      </c>
      <c r="F41" s="4" t="s">
        <v>41</v>
      </c>
      <c r="G41" s="4" t="s">
        <v>41</v>
      </c>
      <c r="H41" s="4" t="s">
        <v>41</v>
      </c>
      <c r="I41" s="4" t="s">
        <v>41</v>
      </c>
      <c r="J41" s="4" t="s">
        <v>41</v>
      </c>
      <c r="K41" s="4" t="s">
        <v>41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0" customHeight="1" spans="1:26">
      <c r="A42" s="4" t="s">
        <v>41</v>
      </c>
      <c r="B42" s="4" t="s">
        <v>41</v>
      </c>
      <c r="C42" s="4" t="s">
        <v>41</v>
      </c>
      <c r="D42" s="4" t="s">
        <v>41</v>
      </c>
      <c r="E42" s="4" t="s">
        <v>41</v>
      </c>
      <c r="F42" s="4" t="s">
        <v>41</v>
      </c>
      <c r="G42" s="4" t="s">
        <v>41</v>
      </c>
      <c r="H42" s="4" t="s">
        <v>41</v>
      </c>
      <c r="I42" s="4" t="s">
        <v>41</v>
      </c>
      <c r="J42" s="4" t="s">
        <v>41</v>
      </c>
      <c r="K42" s="4" t="s">
        <v>41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0" customHeight="1" spans="1:26">
      <c r="A43" s="4" t="s">
        <v>41</v>
      </c>
      <c r="B43" s="4" t="s">
        <v>41</v>
      </c>
      <c r="C43" s="4" t="s">
        <v>41</v>
      </c>
      <c r="D43" s="4" t="s">
        <v>41</v>
      </c>
      <c r="E43" s="4" t="s">
        <v>41</v>
      </c>
      <c r="F43" s="4" t="s">
        <v>41</v>
      </c>
      <c r="G43" s="4" t="s">
        <v>41</v>
      </c>
      <c r="H43" s="4" t="s">
        <v>41</v>
      </c>
      <c r="I43" s="4" t="s">
        <v>41</v>
      </c>
      <c r="J43" s="4" t="s">
        <v>41</v>
      </c>
      <c r="K43" s="4" t="s">
        <v>41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0" customHeight="1" spans="1:26">
      <c r="A44" s="4" t="s">
        <v>41</v>
      </c>
      <c r="B44" s="4" t="s">
        <v>41</v>
      </c>
      <c r="C44" s="4" t="s">
        <v>41</v>
      </c>
      <c r="D44" s="4" t="s">
        <v>41</v>
      </c>
      <c r="E44" s="4" t="s">
        <v>41</v>
      </c>
      <c r="F44" s="4" t="s">
        <v>41</v>
      </c>
      <c r="G44" s="4" t="s">
        <v>41</v>
      </c>
      <c r="H44" s="4" t="s">
        <v>41</v>
      </c>
      <c r="I44" s="4" t="s">
        <v>41</v>
      </c>
      <c r="J44" s="4" t="s">
        <v>41</v>
      </c>
      <c r="K44" s="4" t="s">
        <v>41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0" customHeight="1" spans="1:26">
      <c r="A45" s="4" t="s">
        <v>41</v>
      </c>
      <c r="B45" s="4" t="s">
        <v>41</v>
      </c>
      <c r="C45" s="4" t="s">
        <v>41</v>
      </c>
      <c r="D45" s="4" t="s">
        <v>41</v>
      </c>
      <c r="E45" s="4" t="s">
        <v>41</v>
      </c>
      <c r="F45" s="4" t="s">
        <v>41</v>
      </c>
      <c r="G45" s="4" t="s">
        <v>41</v>
      </c>
      <c r="H45" s="4" t="s">
        <v>41</v>
      </c>
      <c r="I45" s="4" t="s">
        <v>41</v>
      </c>
      <c r="J45" s="4" t="s">
        <v>41</v>
      </c>
      <c r="K45" s="4" t="s">
        <v>41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K1"/>
  </mergeCells>
  <dataValidations count="1">
    <dataValidation type="list" sqref="B4:B45">
      <formula1>"冲刺,匹配,保底,暂不考虑"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J1"/>
    </sheetView>
  </sheetViews>
  <sheetFormatPr defaultColWidth="9" defaultRowHeight="14.25"/>
  <cols>
    <col min="1" max="1" width="10" customWidth="1"/>
    <col min="2" max="2" width="14" customWidth="1"/>
    <col min="3" max="5" width="34" customWidth="1"/>
    <col min="6" max="6" width="30" customWidth="1"/>
    <col min="7" max="7" width="16" customWidth="1"/>
    <col min="8" max="8" width="30" customWidth="1"/>
    <col min="9" max="9" width="34" customWidth="1"/>
    <col min="10" max="10" width="12" customWidth="1"/>
  </cols>
  <sheetData>
    <row r="1" ht="30" customHeight="1" spans="1:26">
      <c r="A1" s="1" t="s">
        <v>1060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 spans="1:26">
      <c r="A3" s="3" t="s">
        <v>30</v>
      </c>
      <c r="B3" s="3" t="s">
        <v>1061</v>
      </c>
      <c r="C3" s="3" t="s">
        <v>1062</v>
      </c>
      <c r="D3" s="3" t="s">
        <v>1063</v>
      </c>
      <c r="E3" s="3" t="s">
        <v>1064</v>
      </c>
      <c r="F3" s="3" t="s">
        <v>1065</v>
      </c>
      <c r="G3" s="3" t="s">
        <v>1066</v>
      </c>
      <c r="H3" s="3" t="s">
        <v>1067</v>
      </c>
      <c r="I3" s="3" t="s">
        <v>1068</v>
      </c>
      <c r="J3" s="3" t="s">
        <v>1069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" customHeight="1" spans="1:26">
      <c r="A4" s="4" t="s">
        <v>38</v>
      </c>
      <c r="B4" s="5">
        <f>IF(COUNTA(第1周_环境GitHub!$G$4:$G$38)=0,0,COUNTIF(第1周_环境GitHub!$G$4:$G$38,"已完成")/COUNTA(第1周_环境GitHub!$G$4:$G$38))</f>
        <v>0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8" customHeight="1" spans="1:26">
      <c r="A5" s="4" t="s">
        <v>42</v>
      </c>
      <c r="B5" s="5">
        <f>IF(COUNTA(第2周_外设基础!$G$4:$G$38)=0,0,COUNTIF(第2周_外设基础!$G$4:$G$38,"已完成")/COUNTA(第2周_外设基础!$G$4:$G$38))</f>
        <v>0</v>
      </c>
      <c r="C5" s="4" t="s">
        <v>41</v>
      </c>
      <c r="D5" s="4" t="s">
        <v>41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8" customHeight="1" spans="1:26">
      <c r="A6" s="4" t="s">
        <v>45</v>
      </c>
      <c r="B6" s="5">
        <f>IF(COUNTA(第3周_FreeRTOS!$G$4:$G$38)=0,0,COUNTIF(第3周_FreeRTOS!$G$4:$G$38,"已完成")/COUNTA(第3周_FreeRTOS!$G$4:$G$38))</f>
        <v>0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8" customHeight="1" spans="1:26">
      <c r="A7" s="4" t="s">
        <v>48</v>
      </c>
      <c r="B7" s="5">
        <f>IF(COUNTA(第4周_CAN基础!$G$4:$G$38)=0,0,COUNTIF(第4周_CAN基础!$G$4:$G$38,"已完成")/COUNTA(第4周_CAN基础!$G$4:$G$38))</f>
        <v>0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8" customHeight="1" spans="1:26">
      <c r="A8" s="4" t="s">
        <v>51</v>
      </c>
      <c r="B8" s="5">
        <f>IF(COUNTA(第5周_CAN协议!$G$4:$G$38)=0,0,COUNTIF(第5周_CAN协议!$G$4:$G$38,"已完成")/COUNTA(第5周_CAN协议!$G$4:$G$38))</f>
        <v>0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8" customHeight="1" spans="1:26">
      <c r="A9" s="4" t="s">
        <v>54</v>
      </c>
      <c r="B9" s="5">
        <f>IF(COUNTA(第6周_Bootloader!$G$4:$G$38)=0,0,COUNTIF(第6周_Bootloader!$G$4:$G$38,"已完成")/COUNTA(第6周_Bootloader!$G$4:$G$38))</f>
        <v>0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8" customHeight="1" spans="1:26">
      <c r="A10" s="4" t="s">
        <v>57</v>
      </c>
      <c r="B10" s="5">
        <f>IF(COUNTA(第7周_电机控制!$G$4:$G$38)=0,0,COUNTIF(第7周_电机控制!$G$4:$G$38,"已完成")/COUNTA(第7周_电机控制!$G$4:$G$38))</f>
        <v>0</v>
      </c>
      <c r="C10" s="4" t="s">
        <v>41</v>
      </c>
      <c r="D10" s="4" t="s">
        <v>41</v>
      </c>
      <c r="E10" s="4" t="s">
        <v>41</v>
      </c>
      <c r="F10" s="4" t="s">
        <v>41</v>
      </c>
      <c r="G10" s="4" t="s">
        <v>41</v>
      </c>
      <c r="H10" s="4" t="s">
        <v>41</v>
      </c>
      <c r="I10" s="4" t="s">
        <v>41</v>
      </c>
      <c r="J10" s="4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8" customHeight="1" spans="1:26">
      <c r="A11" s="4" t="s">
        <v>60</v>
      </c>
      <c r="B11" s="5">
        <f>IF(COUNTA(第8周_工业协议!$G$4:$G$38)=0,0,COUNTIF(第8周_工业协议!$G$4:$G$38,"已完成")/COUNTA(第8周_工业协议!$G$4:$G$38))</f>
        <v>0</v>
      </c>
      <c r="C11" s="4" t="s">
        <v>41</v>
      </c>
      <c r="D11" s="4" t="s">
        <v>41</v>
      </c>
      <c r="E11" s="4" t="s">
        <v>41</v>
      </c>
      <c r="F11" s="4" t="s">
        <v>41</v>
      </c>
      <c r="G11" s="4" t="s">
        <v>41</v>
      </c>
      <c r="H11" s="4" t="s">
        <v>41</v>
      </c>
      <c r="I11" s="4" t="s">
        <v>41</v>
      </c>
      <c r="J11" s="4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8" customHeight="1" spans="1:26">
      <c r="A12" s="4" t="s">
        <v>63</v>
      </c>
      <c r="B12" s="5">
        <f>IF(COUNTA(第9周_综合项目!$G$4:$G$38)=0,0,COUNTIF(第9周_综合项目!$G$4:$G$38,"已完成")/COUNTA(第9周_综合项目!$G$4:$G$38))</f>
        <v>0</v>
      </c>
      <c r="C12" s="4" t="s">
        <v>41</v>
      </c>
      <c r="D12" s="4" t="s">
        <v>41</v>
      </c>
      <c r="E12" s="4" t="s">
        <v>41</v>
      </c>
      <c r="F12" s="4" t="s">
        <v>41</v>
      </c>
      <c r="G12" s="4" t="s">
        <v>41</v>
      </c>
      <c r="H12" s="4" t="s">
        <v>41</v>
      </c>
      <c r="I12" s="4" t="s">
        <v>41</v>
      </c>
      <c r="J12" s="4" t="s">
        <v>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8" customHeight="1" spans="1:26">
      <c r="A13" s="4" t="s">
        <v>66</v>
      </c>
      <c r="B13" s="5">
        <f>IF(COUNTA(第10周_诊断可靠性!$G$4:$G$38)=0,0,COUNTIF(第10周_诊断可靠性!$G$4:$G$38,"已完成")/COUNTA(第10周_诊断可靠性!$G$4:$G$38))</f>
        <v>0</v>
      </c>
      <c r="C13" s="4" t="s">
        <v>41</v>
      </c>
      <c r="D13" s="4" t="s">
        <v>41</v>
      </c>
      <c r="E13" s="4" t="s">
        <v>41</v>
      </c>
      <c r="F13" s="4" t="s">
        <v>41</v>
      </c>
      <c r="G13" s="4" t="s">
        <v>41</v>
      </c>
      <c r="H13" s="4" t="s">
        <v>41</v>
      </c>
      <c r="I13" s="4" t="s">
        <v>41</v>
      </c>
      <c r="J13" s="4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8" customHeight="1" spans="1:26">
      <c r="A14" s="4" t="s">
        <v>69</v>
      </c>
      <c r="B14" s="5">
        <f>IF(COUNTA(第11周_架构优化!$G$4:$G$38)=0,0,COUNTIF(第11周_架构优化!$G$4:$G$38,"已完成")/COUNTA(第11周_架构优化!$G$4:$G$38))</f>
        <v>0</v>
      </c>
      <c r="C14" s="4" t="s">
        <v>41</v>
      </c>
      <c r="D14" s="4" t="s">
        <v>41</v>
      </c>
      <c r="E14" s="4" t="s">
        <v>41</v>
      </c>
      <c r="F14" s="4" t="s">
        <v>41</v>
      </c>
      <c r="G14" s="4" t="s">
        <v>41</v>
      </c>
      <c r="H14" s="4" t="s">
        <v>41</v>
      </c>
      <c r="I14" s="4" t="s">
        <v>41</v>
      </c>
      <c r="J14" s="4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8" customHeight="1" spans="1:26">
      <c r="A15" s="4" t="s">
        <v>72</v>
      </c>
      <c r="B15" s="5">
        <f>IF(COUNTA(第12周_求职面试!$G$4:$G$38)=0,0,COUNTIF(第12周_求职面试!$G$4:$G$38,"已完成")/COUNTA(第12周_求职面试!$G$4:$G$38))</f>
        <v>0</v>
      </c>
      <c r="C15" s="4" t="s">
        <v>41</v>
      </c>
      <c r="D15" s="4" t="s">
        <v>41</v>
      </c>
      <c r="E15" s="4" t="s">
        <v>41</v>
      </c>
      <c r="F15" s="4" t="s">
        <v>41</v>
      </c>
      <c r="G15" s="4" t="s">
        <v>41</v>
      </c>
      <c r="H15" s="4" t="s">
        <v>41</v>
      </c>
      <c r="I15" s="4" t="s">
        <v>41</v>
      </c>
      <c r="J15" s="4" t="s">
        <v>41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J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使用说明</vt:lpstr>
      <vt:lpstr>Dashboard</vt:lpstr>
      <vt:lpstr>第1周_环境GitHub</vt:lpstr>
      <vt:lpstr>第2周_外设基础</vt:lpstr>
      <vt:lpstr>第3周_FreeRTOS</vt:lpstr>
      <vt:lpstr>第4周_CAN基础</vt:lpstr>
      <vt:lpstr>第5周_CAN协议</vt:lpstr>
      <vt:lpstr>第6周_Bootloader</vt:lpstr>
      <vt:lpstr>第7周_电机控制</vt:lpstr>
      <vt:lpstr>第8周_工业协议</vt:lpstr>
      <vt:lpstr>第9周_综合项目</vt:lpstr>
      <vt:lpstr>第10周_诊断可靠性</vt:lpstr>
      <vt:lpstr>第11周_架构优化</vt:lpstr>
      <vt:lpstr>第12周_求职面试</vt:lpstr>
      <vt:lpstr>每日总表</vt:lpstr>
      <vt:lpstr>CAN专项路线</vt:lpstr>
      <vt:lpstr>工业源码资源</vt:lpstr>
      <vt:lpstr>GitHub上传清单</vt:lpstr>
      <vt:lpstr>岗位雷达</vt:lpstr>
      <vt:lpstr>目标公司打探</vt:lpstr>
      <vt:lpstr>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纪冕</cp:lastModifiedBy>
  <dcterms:created xsi:type="dcterms:W3CDTF">2026-05-28T02:39:12Z</dcterms:created>
  <dcterms:modified xsi:type="dcterms:W3CDTF">2026-05-28T02:40:14Z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ABAAC8463BDB4BCEB4B13CF9B4858E6A_12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